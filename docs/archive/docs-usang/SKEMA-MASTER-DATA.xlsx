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600" firstSheet="0" activeTab="0"/>
  </bookViews>
  <sheets>
    <sheet name="Ringkasan" sheetId="1" state="visible" r:id="rId3"/>
    <sheet name="Peta Model" sheetId="2" state="visible" r:id="rId4"/>
    <sheet name="Relasi" sheetId="3" state="visible" r:id="rId5"/>
    <sheet name="Cacat &amp; Perbaikan" sheetId="4" state="visible" r:id="rId6"/>
    <sheet name="Aturan Kolom" sheetId="5" state="visible" r:id="rId7"/>
    <sheet name="Sisa Pekerjaan" sheetId="6" state="visible" r:id="rId8"/>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<sst xmlns="http://schemas.openxmlformats.org/spreadsheetml/2006/main" count="313" uniqueCount="221">
  <si>
    <t xml:space="preserve">Master Data StudioFlow — Peta Skema &amp; Perbaikan Logika</t>
  </si>
  <si>
    <t xml:space="preserve">Disusun 6 Agustus 2026. Master Data adalah SSOT untuk seluruh library StudioFlow dan data BQ.</t>
  </si>
  <si>
    <t xml:space="preserve">EMPAT PERTANYAAN YANG DIJAWAB MASTER DATA</t>
  </si>
  <si>
    <t xml:space="preserve">Halaman</t>
  </si>
  <si>
    <t xml:space="preserve">Menjawab pertanyaan</t>
  </si>
  <si>
    <t xml:space="preserve">Model utama</t>
  </si>
  <si>
    <t xml:space="preserve">Jumlah model</t>
  </si>
  <si>
    <t xml:space="preserve">Supplier</t>
  </si>
  <si>
    <t xml:space="preserve">SIAPA yang menyediakan? Perusahaan induk, brand yang dijualnya, dan tukang/kontraktor jasa.</t>
  </si>
  <si>
    <t xml:space="preserve">Company, Brand, ServiceVendor</t>
  </si>
  <si>
    <t xml:space="preserve">Materials</t>
  </si>
  <si>
    <t xml:space="preserve">APA barangnya? Identitas produk (SKU) beserta sampel fisik yang ada di rak.</t>
  </si>
  <si>
    <t xml:space="preserve">Sku, Sample</t>
  </si>
  <si>
    <t xml:space="preserve">Harga</t>
  </si>
  <si>
    <t xml:space="preserve">BERAPA harganya? Tiga skema harga berbeda yang dikonsumsi BQ.</t>
  </si>
  <si>
    <t xml:space="preserve">MaterialPrice, MaterialLaborPrice, ServicePrice</t>
  </si>
  <si>
    <t xml:space="preserve">Kategori</t>
  </si>
  <si>
    <t xml:space="preserve">KLASIFIKASI apa? Kosakata kategori yang dipakai pencarian Library.</t>
  </si>
  <si>
    <t xml:space="preserve">Category, BrandCategory</t>
  </si>
  <si>
    <t xml:space="preserve">Total model Master Data</t>
  </si>
  <si>
    <t xml:space="preserve">ATURAN EMAS</t>
  </si>
  <si>
    <t xml:space="preserve">Aturan</t>
  </si>
  <si>
    <t xml:space="preserve">Kenapa</t>
  </si>
  <si>
    <t xml:space="preserve">Satu fakta, satu tempat</t>
  </si>
  <si>
    <t xml:space="preserve">Kalau angka atau nama yang sama bisa disimpan di dua kolom, cepat atau lambat keduanya akan berbeda dan tidak ada yang tahu mana yang benar.</t>
  </si>
  <si>
    <t xml:space="preserve">Identitas terpisah dari harga</t>
  </si>
  <si>
    <t xml:space="preserve">Sku menjawab 'barang apa', MaterialPrice menjawab 'berapa'. Sebagian besar baris price list tidak pernah menjadi Sku, jadi harga tidak boleh bergantung pada keberadaan Sku.</t>
  </si>
  <si>
    <t xml:space="preserve">Kategori pakai kosakata terkunci</t>
  </si>
  <si>
    <t xml:space="preserve">Free text menghasilkan 'Sanitary' dan 'sanitary' sebagai dua kategori berbeda. Pencarian Library adalah permukaan yang paling terdampak.</t>
  </si>
  <si>
    <t xml:space="preserve">Kolom denormalisasi selalu diturunkan</t>
  </si>
  <si>
    <t xml:space="preserve">Kolom salinan (mis. catalog_brand) tidak boleh diketik user. Selalu diisi dari relasinya pada saat menyimpan.</t>
  </si>
  <si>
    <t xml:space="preserve">Perbedaan struktur bukan alasan menggabung</t>
  </si>
  <si>
    <t xml:space="preserve">Company (3 level, kontak di tabel terpisah) dan ServiceVendor (2 level, kolom flat) digabung di halaman, bukan di schema.</t>
  </si>
  <si>
    <t xml:space="preserve">Peta Model — apa yang disimpan di mana</t>
  </si>
  <si>
    <t xml:space="preserve">Nama tabel database berbeda dari nama model Prisma pada tiga model; kolom 'Tabel DB' menyebutkan nama aslinya.</t>
  </si>
  <si>
    <t xml:space="preserve">Model Prisma</t>
  </si>
  <si>
    <t xml:space="preserve">Tabel DB</t>
  </si>
  <si>
    <t xml:space="preserve">Menyimpan apa</t>
  </si>
  <si>
    <t xml:space="preserve">Kolom penting</t>
  </si>
  <si>
    <t xml:space="preserve">Catatan</t>
  </si>
  <si>
    <t xml:space="preserve">Company</t>
  </si>
  <si>
    <t xml:space="preserve">Badan hukum / grup usaha yang memayungi satu atau banyak brand.</t>
  </si>
  <si>
    <t xml:space="preserve">name (unik), legal_name, contacts[], links[]</t>
  </si>
  <si>
    <t xml:space="preserve">Baru dibuat R7 (5 Agu 2026). Kontak di level ini berlaku untuk semua brand di bawahnya.</t>
  </si>
  <si>
    <t xml:space="preserve">Brand</t>
  </si>
  <si>
    <t xml:space="preserve">Vendor</t>
  </si>
  <si>
    <t xml:space="preserve">Merek yang dijual. Wajib ada pada setiap Material.</t>
  </si>
  <si>
    <t xml:space="preserve">brand_name (unik), legal_name, company_id (nullable)</t>
  </si>
  <si>
    <t xml:space="preserve">Nama tabel 'Vendor' adalah sisa desain lama. Istilah Vendor kini dicadangkan untuk penyedia jasa.</t>
  </si>
  <si>
    <t xml:space="preserve">ServiceVendor</t>
  </si>
  <si>
    <t xml:space="preserve">Tukang / kontraktor penyedia jasa pemasangan.</t>
  </si>
  <si>
    <t xml:space="preserve">name (unik), trade, phone_number, legal_name</t>
  </si>
  <si>
    <t xml:space="preserve">Struktur flat 2 level. Sengaja TIDAK digabung dengan Company meski keduanya 'pihak eksternal'.</t>
  </si>
  <si>
    <t xml:space="preserve">Sku</t>
  </si>
  <si>
    <t xml:space="preserve">Material</t>
  </si>
  <si>
    <t xml:space="preserve">Satu produk yang bisa dispesifikasikan. Identitas, bukan harga.</t>
  </si>
  <si>
    <t xml:space="preserve">catalog_sku, catalog_product_name, catalog_brand, catalog_tags[]</t>
  </si>
  <si>
    <t xml:space="preserve">Kolom berawalan catalog_ dibekukan sebagai key JSON di snapshot Schedule proyek lama — tidak boleh diganti nama.</t>
  </si>
  <si>
    <t xml:space="preserve">Sample</t>
  </si>
  <si>
    <t xml:space="preserve">Spesimen fisik yang benar-benar ada di rak kantor.</t>
  </si>
  <si>
    <t xml:space="preserve">sku_id, catalog_rack_number, catalog_box_number, quantity</t>
  </si>
  <si>
    <t xml:space="preserve">'Tidak tersedia' diturunkan dari nol baris Sample, tidak pernah disimpan sebagai baris dummy.</t>
  </si>
  <si>
    <t xml:space="preserve">MaterialPrice</t>
  </si>
  <si>
    <t xml:space="preserve">Harga material per brand. Inilah sumber harga yang benar.</t>
  </si>
  <si>
    <t xml:space="preserve">brand_id (wajib), sku_id (opsional), price_before/after_discount, unit, valid_from</t>
  </si>
  <si>
    <t xml:space="preserve">sku_id sengaja nullable: mayoritas baris price list supplier tidak pernah menjadi Sku.</t>
  </si>
  <si>
    <t xml:space="preserve">MaterialLaborPrice</t>
  </si>
  <si>
    <t xml:space="preserve">Paket pasang — satu vendor menawarkan material + upah sekaligus.</t>
  </si>
  <si>
    <t xml:space="preserve">code (unik), material_price, labor_price, total_price, service_vendor_id</t>
  </si>
  <si>
    <t xml:space="preserve">total_price disimpan, bukan dihitung ulang, supaya BQ membaca satu kolom.</t>
  </si>
  <si>
    <t xml:space="preserve">ServicePrice</t>
  </si>
  <si>
    <t xml:space="preserve">Harga upah jasa saja, tanpa material.</t>
  </si>
  <si>
    <t xml:space="preserve">code (unik), price, category, unit, service_vendor_id</t>
  </si>
  <si>
    <t xml:space="preserve">service_vendor_id NULL berarti 'harga internal', bukan data yang hilang.</t>
  </si>
  <si>
    <t xml:space="preserve">Category</t>
  </si>
  <si>
    <t xml:space="preserve">Kosakata kategori kanonik dengan slug unik.</t>
  </si>
  <si>
    <t xml:space="preserve">name (unik), slug (unik)</t>
  </si>
  <si>
    <t xml:space="preserve">Dibuat §6.14 untuk membalik eksperimen free tag §6.12.</t>
  </si>
  <si>
    <t xml:space="preserve">BrandCategory</t>
  </si>
  <si>
    <t xml:space="preserve">Join Brand ke Category — kategori apa saja yang dijual satu brand.</t>
  </si>
  <si>
    <t xml:space="preserve">brand_id, category_id, sort_order</t>
  </si>
  <si>
    <t xml:space="preserve">Inilah join yang dipakai pencarian Library. Lihat sheet 'Cacat &amp; Perbaikan' butir C4.</t>
  </si>
  <si>
    <t xml:space="preserve">Relasi antar model</t>
  </si>
  <si>
    <t xml:space="preserve">Kolom 'Saat induk dihapus' menjelaskan apa yang terjadi pada baris anak — ini yang menentukan data mana yang bisa hilang diam-diam.</t>
  </si>
  <si>
    <t xml:space="preserve">Dari</t>
  </si>
  <si>
    <t xml:space="preserve">Ke</t>
  </si>
  <si>
    <t xml:space="preserve">Kardinalitas</t>
  </si>
  <si>
    <t xml:space="preserve">Saat induk dihapus</t>
  </si>
  <si>
    <t xml:space="preserve">Arti praktisnya</t>
  </si>
  <si>
    <t xml:space="preserve">→</t>
  </si>
  <si>
    <t xml:space="preserve">1 : N</t>
  </si>
  <si>
    <t xml:space="preserve">SetNull</t>
  </si>
  <si>
    <t xml:space="preserve">Menghapus perusahaan tidak menghapus brand — brand hanya kembali menjadi 'belum ditentukan'.</t>
  </si>
  <si>
    <t xml:space="preserve">Restrict</t>
  </si>
  <si>
    <t xml:space="preserve">Brand tidak bisa dihapus selama masih punya material. Ini disengaja: material tanpa brand tidak bisa dispesifikasikan.</t>
  </si>
  <si>
    <t xml:space="preserve">Cascade</t>
  </si>
  <si>
    <t xml:space="preserve">Menghapus brand ikut menghapus seluruh harganya. Aman karena Restrict di atas sudah mencegah brand ber-Sku dihapus.</t>
  </si>
  <si>
    <t xml:space="preserve">Keanggotaan kategori ikut terhapus bersama brand-nya.</t>
  </si>
  <si>
    <t xml:space="preserve">Material tidak bisa dihapus selama sampel fisiknya masih tercatat di rak.</t>
  </si>
  <si>
    <t xml:space="preserve">Menghapus material TIDAK menghapus harganya — baris harga tetap hidup di level brand.</t>
  </si>
  <si>
    <t xml:space="preserve">Kategori yang masih dipakai brand tidak bisa dihapus.</t>
  </si>
  <si>
    <t xml:space="preserve">—</t>
  </si>
  <si>
    <t xml:space="preserve">Vendor jasa hanya bisa dihapus setelah harganya dipindahkan.</t>
  </si>
  <si>
    <t xml:space="preserve">Sama seperti di atas, untuk paket material + upah.</t>
  </si>
  <si>
    <t xml:space="preserve">Cacat logika yang ditemukan dan statusnya</t>
  </si>
  <si>
    <t xml:space="preserve">Semua perbaikan di bawah ini tidak memerlukan migrasi database. Kolom Status memakai daftar tertutup.</t>
  </si>
  <si>
    <t xml:space="preserve">Kode</t>
  </si>
  <si>
    <t xml:space="preserve">Cacat</t>
  </si>
  <si>
    <t xml:space="preserve">Kenapa ini masalah</t>
  </si>
  <si>
    <t xml:space="preserve">Perbaikan yang dilakukan</t>
  </si>
  <si>
    <t xml:space="preserve">Status</t>
  </si>
  <si>
    <t xml:space="preserve">Butuh migrasi</t>
  </si>
  <si>
    <t xml:space="preserve">C1</t>
  </si>
  <si>
    <t xml:space="preserve">Harga material dibaca dari kolom yang salah</t>
  </si>
  <si>
    <t xml:space="preserve">Tab Harga Material menulis ke tabel MaterialPrice, tetapi statistik 'Siap BQ' dihitung dari kolom lama Sku.catalog_price*. Akibatnya seluruh 172 material dilaporkan 'harga belum lengkap' walaupun harganya sudah diisi.</t>
  </si>
  <si>
    <t xml:space="preserve">material-view-service.ts kini membaca MaterialPrice. Statistik Siap BQ mencerminkan data sebenarnya.</t>
  </si>
  <si>
    <t xml:space="preserve">Selesai</t>
  </si>
  <si>
    <t xml:space="preserve">Tidak</t>
  </si>
  <si>
    <t xml:space="preserve">C2</t>
  </si>
  <si>
    <t xml:space="preserve">Harga dari dialog Material menjadi tidak terlihat</t>
  </si>
  <si>
    <t xml:space="preserve">Perbaikan C1 memindahkan pembacaan sepenuhnya ke MaterialPrice, padahal dialog Material masih menulis ke kolom inline. Harga yang diisi lewat dialog jadi hilang dari tampilan — regresi yang dibuat oleh perbaikan sebelumnya.</t>
  </si>
  <si>
    <t xml:space="preserve">Pembacaan menerima kedua sumber dengan urutan prioritas: MaterialPrice per SKU, lalu MaterialPrice per brand, lalu kolom inline. Sumber yang dipakai ditandai di kolom Harga.</t>
  </si>
  <si>
    <t xml:space="preserve">C3</t>
  </si>
  <si>
    <t xml:space="preserve">Harga yang menang tidak menentu</t>
  </si>
  <si>
    <t xml:space="preserve">Ketika satu SKU punya lebih dari satu baris harga, query tanpa pengurutan membuat baris mana yang terbaca bisa berubah antar permintaan. Harga lama bisa menang hanya karena urutan penyimpanannya.</t>
  </si>
  <si>
    <t xml:space="preserve">Query MaterialPrice diberi urutan valid_from menurun lalu created_at menurun. Harga terbaru selalu menang, dan hasilnya sama pada setiap permintaan.</t>
  </si>
  <si>
    <t xml:space="preserve">C4</t>
  </si>
  <si>
    <t xml:space="preserve">Komentar schema bertentangan dengan kode</t>
  </si>
  <si>
    <t xml:space="preserve">Schema menyebut catalog_brand sebagai merek yang berbeda dari relasi Brand, sedangkan semua jalur tulis mengisinya dari Brand.brand_name dan UI menandai perbedaan keduanya sebagai kesalahan data. Pembaca schema akan menyimpulkan aturan yang salah.</t>
  </si>
  <si>
    <t xml:space="preserve">Komentar schema dikoreksi: catalog_brand adalah salinan denormalisasi, selalu diturunkan dari relasi, tidak boleh diketik user. Alasan kolom ini tidak bisa dihapus ikut dicatat.</t>
  </si>
  <si>
    <t xml:space="preserve">C5</t>
  </si>
  <si>
    <t xml:space="preserve">Kategori duplikat di dropdown filter</t>
  </si>
  <si>
    <t xml:space="preserve">Daftar kategori dibangun dengan pembandingan yang membedakan huruf besar-kecil, sementara penyaringnya tidak. 'Sanitary' dan 'sanitary' muncul sebagai dua pilihan yang menghasilkan baris yang sama persis — pilihan kedua menyesatkan.</t>
  </si>
  <si>
    <t xml:space="preserve">Daftar kategori kini digabung tanpa membedakan huruf besar-kecil. Label yang ditampilkan adalah varian yang paling sering muncul di data.</t>
  </si>
  <si>
    <t xml:space="preserve">C6</t>
  </si>
  <si>
    <t xml:space="preserve">Vendor jasa sulit ditemukan</t>
  </si>
  <si>
    <t xml:space="preserve">ServiceVendor dibutuhkan oleh dua tab Harga, tetapi pengelolaannya tersembunyi sebagai sub-tab di dalam salah satunya.</t>
  </si>
  <si>
    <t xml:space="preserve">Dipindahkan ke halaman Supplier sebagai tab Jasa, sejajar dengan tab Material. Halaman Harga kembali murni berisi harga.</t>
  </si>
  <si>
    <t xml:space="preserve">C7</t>
  </si>
  <si>
    <t xml:space="preserve">Badan usaha terisi dua kali</t>
  </si>
  <si>
    <t xml:space="preserve">Setelah Company diperkenalkan, brand yang sudah punya perusahaan tetap menampilkan kolom badan usaha sendiri. Dua tempat untuk satu entitas hukum yang sama.</t>
  </si>
  <si>
    <t xml:space="preserve">Kolom badan usaha di form Brand menjadi kondisional: ditampilkan sebagai bacaan dari Company bila brand sudah terhubung, dan hanya bisa diisi bila brand belum punya perusahaan.</t>
  </si>
  <si>
    <t xml:space="preserve">C8</t>
  </si>
  <si>
    <t xml:space="preserve">Izin yang berubah tidak tercermin saat dialog terbuka</t>
  </si>
  <si>
    <t xml:space="preserve">Efek yang menentukan mode baca atau ubah membaca hak akses, tetapi hak akses itu tidak terdaftar sebagai pemicunya. Bila izin berubah saat dialog sedang terbuka, dialog tetap pada mode lamanya sampai ditutup. Terjadi di dialog Brand dan dialog Perusahaan.</t>
  </si>
  <si>
    <t xml:space="preserve">Hak akses ditambahkan ke daftar pemicu efek pada kedua dialog.</t>
  </si>
  <si>
    <t xml:space="preserve">C9</t>
  </si>
  <si>
    <t xml:space="preserve">Panel Brand menembus lapisan UI Engine</t>
  </si>
  <si>
    <t xml:space="preserve">Komponen panel diimpor langsung dari lapisan internal, melanggar aturan bahwa hanya UI Engine yang boleh menjangkau ke sana. Aturan ini yang menjaga agar satu halaman tidak tampil berbeda dari halaman lain.</t>
  </si>
  <si>
    <t xml:space="preserve">Panel didaftarkan sebagai primitive resmi di UI Engine, lalu impor di dialog Brand diarahkan ke sana.</t>
  </si>
  <si>
    <t xml:space="preserve">C10</t>
  </si>
  <si>
    <t xml:space="preserve">Library buta terhadap kategori Master Data</t>
  </si>
  <si>
    <t xml:space="preserve">Pencarian Library membaca BrandCategory, sedangkan halaman Materials menulis ke catalog_tags. Brand yang materialnya diberi kategori di Master Data tidak muncul di kategori itu pada Library kecuali ada yang membuat baris BrandCategory secara terpisah.</t>
  </si>
  <si>
    <t xml:space="preserve">Belum diperbaiki. Perlu penyelarasan: menyimpan Material ikut membuat baris Category dan BrandCategory yang sesuai.</t>
  </si>
  <si>
    <t xml:space="preserve">Belum</t>
  </si>
  <si>
    <t xml:space="preserve">C11</t>
  </si>
  <si>
    <t xml:space="preserve">Dua kolom harga masih hidup berdampingan</t>
  </si>
  <si>
    <t xml:space="preserve">Kolom Sku.catalog_price* masih ditulis oleh dialog Material. Selama keduanya aktif, penanda sumber harga diperlukan supaya staff tahu baris mana yang masih memakai jalur lama.</t>
  </si>
  <si>
    <t xml:space="preserve">Belum diperbaiki. Setelah C1 dan C2 stabil, dialog Material diarahkan menulis ke MaterialPrice dan kolom inline dihentikan.</t>
  </si>
  <si>
    <t xml:space="preserve">C12</t>
  </si>
  <si>
    <t xml:space="preserve">Kategori produk belum berkosakata terkunci</t>
  </si>
  <si>
    <t xml:space="preserve">catalog_tags adalah teks bebas di level produk, sementara level brand sudah memakai Category yang ber-slug unik. Pembalikan free tag hanya diterapkan setengah.</t>
  </si>
  <si>
    <t xml:space="preserve">Belum diperbaiki. Perlu tabel join SkuCategory memakai Category yang sama, sehingga satu kosakata dipakai di dua level.</t>
  </si>
  <si>
    <t xml:space="preserve">Ya</t>
  </si>
  <si>
    <t xml:space="preserve">Sudah selesai</t>
  </si>
  <si>
    <t xml:space="preserve">Masih terbuka</t>
  </si>
  <si>
    <t xml:space="preserve">Aturan pakai kolom yang mudah disalahartikan</t>
  </si>
  <si>
    <t xml:space="preserve">Kolom di bawah ini pernah atau masih menjadi sumber kebingungan. Gunakan tabel ini sebelum menambah kode yang menyentuhnya.</t>
  </si>
  <si>
    <t xml:space="preserve">Model</t>
  </si>
  <si>
    <t xml:space="preserve">Kolom</t>
  </si>
  <si>
    <t xml:space="preserve">Boleh dipakai untuk</t>
  </si>
  <si>
    <t xml:space="preserve">Jangan</t>
  </si>
  <si>
    <t xml:space="preserve">catalog_brand</t>
  </si>
  <si>
    <t xml:space="preserve">Menampilkan nama brand pada snapshot lama dan menjaga unique key tetap utuh.</t>
  </si>
  <si>
    <t xml:space="preserve">Jangan dijadikan kolom isian user, dan jangan diperlakukan sebagai merek yang berbeda dari relasi Brand.</t>
  </si>
  <si>
    <t xml:space="preserve">catalog_price, catalog_vendor_price, catalog_price_unit</t>
  </si>
  <si>
    <t xml:space="preserve">Membaca harga lama yang belum dipindahkan, sebagai cadangan terakhir.</t>
  </si>
  <si>
    <t xml:space="preserve">Jangan dipakai sebagai sumber harga baru. Harga baru masuk ke MaterialPrice.</t>
  </si>
  <si>
    <t xml:space="preserve">catalog_tags</t>
  </si>
  <si>
    <t xml:space="preserve">Tag kategori di level produk. Tag pertama adalah kategori utama pada Schedule.</t>
  </si>
  <si>
    <t xml:space="preserve">Jangan diasumsikan sudah seragam huruf besar-kecilnya, dan jangan dibandingkan tanpa normalisasi.</t>
  </si>
  <si>
    <t xml:space="preserve">legal_name</t>
  </si>
  <si>
    <t xml:space="preserve">Badan usaha brand yang belum terhubung ke Company.</t>
  </si>
  <si>
    <t xml:space="preserve">Jangan diisi bila brand sudah punya company_id — badan usahanya milik Company.</t>
  </si>
  <si>
    <t xml:space="preserve">sku_id</t>
  </si>
  <si>
    <t xml:space="preserve">Menghubungkan harga ke material tertentu bila memang ada materialnya.</t>
  </si>
  <si>
    <t xml:space="preserve">Jangan dijadikan wajib. Sebagian besar baris price list supplier tidak punya SKU.</t>
  </si>
  <si>
    <t xml:space="preserve">category</t>
  </si>
  <si>
    <t xml:space="preserve">Pengelompokan baris pada BQ, mengikuti kolom Category di lembar harga supplier.</t>
  </si>
  <si>
    <t xml:space="preserve">Jangan disamakan dengan model Category — beda kegunaan, dan memang tidak perlu diseragamkan.</t>
  </si>
  <si>
    <t xml:space="preserve">unit</t>
  </si>
  <si>
    <t xml:space="preserve">Satuan harga. Wajib diisi agar sebuah harga dianggap siap BQ.</t>
  </si>
  <si>
    <t xml:space="preserve">Jangan diberi nilai bawaan. Satuan yang ditebak merusak BQ tanpa gejala.</t>
  </si>
  <si>
    <t xml:space="preserve">service_vendor_id</t>
  </si>
  <si>
    <t xml:space="preserve">Menandai vendor yang memberi harga tersebut.</t>
  </si>
  <si>
    <t xml:space="preserve">Jangan dibaca sebagai data hilang saat kosong — kosong berarti harga internal.</t>
  </si>
  <si>
    <t xml:space="preserve">quantity</t>
  </si>
  <si>
    <t xml:space="preserve">Jumlah spesimen fisik yang ada di rak.</t>
  </si>
  <si>
    <t xml:space="preserve">Jangan membuat baris Sample kosong hanya untuk menyatakan 'tidak tersedia'.</t>
  </si>
  <si>
    <t xml:space="preserve">Sisa pekerjaan berikutnya</t>
  </si>
  <si>
    <t xml:space="preserve">Diurutkan berdasarkan dampak. Butir yang memerlukan migrasi database dipisahkan supaya bisa dijadwalkan tersendiri.</t>
  </si>
  <si>
    <t xml:space="preserve">Pekerjaan</t>
  </si>
  <si>
    <t xml:space="preserve">Hasil yang diharapkan</t>
  </si>
  <si>
    <t xml:space="preserve">Cacat terkait</t>
  </si>
  <si>
    <t xml:space="preserve">Bergantung pada</t>
  </si>
  <si>
    <t xml:space="preserve">P2-a</t>
  </si>
  <si>
    <t xml:space="preserve">Selaraskan kategori ke Library</t>
  </si>
  <si>
    <t xml:space="preserve">Menyimpan Material ikut membuat baris Category dan BrandCategory. Brand langsung muncul di pencarian Library sesuai kategori materialnya.</t>
  </si>
  <si>
    <t xml:space="preserve">P2-b</t>
  </si>
  <si>
    <t xml:space="preserve">Hentikan penulisan ke kolom harga lama</t>
  </si>
  <si>
    <t xml:space="preserve">Dialog Material menulis ke MaterialPrice. Penanda 'harga lama' di tabel Materials habis dengan sendirinya.</t>
  </si>
  <si>
    <t xml:space="preserve">C1, C2 stabil</t>
  </si>
  <si>
    <t xml:space="preserve">P2-c</t>
  </si>
  <si>
    <t xml:space="preserve">Tabel join SkuCategory</t>
  </si>
  <si>
    <t xml:space="preserve">Kategori produk memakai kosakata terkunci yang sama dengan level brand. catalog_tags dipensiunkan.</t>
  </si>
  <si>
    <t xml:space="preserve">P3-a</t>
  </si>
  <si>
    <t xml:space="preserve">Backfill perusahaan untuk brand</t>
  </si>
  <si>
    <t xml:space="preserve">Brand yang belum punya Company dilengkapi lewat UI Supplier. Indikator kuning di tabel habis.</t>
  </si>
  <si>
    <t xml:space="preserve">P3-b</t>
  </si>
  <si>
    <t xml:space="preserve">Pindahkan badan usaha brand ke Company</t>
  </si>
  <si>
    <t xml:space="preserve">Brand.legal_name hanya menyisakan brand yang memang berdiri sendiri tanpa perusahaan induk.</t>
  </si>
</sst>
</file>

<file path=xl/styles.xml><?xml version="1.0" encoding="utf-8"?>
<styleSheet xmlns="http://schemas.openxmlformats.org/spreadsheetml/2006/main">
  <numFmts count="1">
    <numFmt numFmtId="164" formatCode="General"/>
  </numFmts>
  <fonts count="14">
    <font>
      <sz val="11"/>
      <color theme="1"/>
      <name val="Calibri"/>
      <family val="2"/>
      <charset val="1"/>
    </font>
    <font>
      <sz val="10"/>
      <name val="Arial"/>
      <family val="0"/>
    </font>
    <font>
      <sz val="10"/>
      <name val="Arial"/>
      <family val="0"/>
    </font>
    <font>
      <sz val="10"/>
      <name val="Arial"/>
      <family val="0"/>
    </font>
    <font>
      <b val="true"/>
      <sz val="14"/>
      <color rgb="FF1F3864"/>
      <name val="Arial"/>
      <family val="0"/>
      <charset val="1"/>
    </font>
    <font>
      <i val="true"/>
      <sz val="9"/>
      <color rgb="FF595959"/>
      <name val="Arial"/>
      <family val="0"/>
      <charset val="1"/>
    </font>
    <font>
      <b val="true"/>
      <sz val="11"/>
      <color rgb="FF1F3864"/>
      <name val="Arial"/>
      <family val="0"/>
      <charset val="1"/>
    </font>
    <font>
      <b val="true"/>
      <sz val="10"/>
      <color rgb="FFFFFFFF"/>
      <name val="Arial"/>
      <family val="0"/>
      <charset val="1"/>
    </font>
    <font>
      <b val="true"/>
      <sz val="10"/>
      <name val="Arial"/>
      <family val="0"/>
      <charset val="1"/>
    </font>
    <font>
      <sz val="10"/>
      <name val="Arial"/>
      <family val="0"/>
      <charset val="1"/>
    </font>
    <font>
      <b val="true"/>
      <sz val="10"/>
      <color rgb="FF1F3864"/>
      <name val="Arial"/>
      <family val="0"/>
      <charset val="1"/>
    </font>
    <font>
      <i val="true"/>
      <sz val="9"/>
      <name val="Arial"/>
      <family val="0"/>
      <charset val="1"/>
    </font>
    <font>
      <b val="true"/>
      <sz val="9"/>
      <color rgb="FF1F3864"/>
      <name val="Arial"/>
      <family val="0"/>
      <charset val="1"/>
    </font>
    <font>
      <sz val="10"/>
      <color rgb="FF9C2500"/>
      <name val="Arial"/>
      <family val="0"/>
      <charset val="1"/>
    </font>
  </fonts>
  <fills count="7">
    <fill>
      <patternFill patternType="none"/>
    </fill>
    <fill>
      <patternFill patternType="gray125"/>
    </fill>
    <fill>
      <patternFill patternType="solid">
        <fgColor rgb="FF2E5C8A"/>
        <bgColor rgb="FF595959"/>
      </patternFill>
    </fill>
    <fill>
      <patternFill patternType="solid">
        <fgColor rgb="FFF2F2F2"/>
        <bgColor rgb="FFE2EFDA"/>
      </patternFill>
    </fill>
    <fill>
      <patternFill patternType="solid">
        <fgColor rgb="FFFFF2CC"/>
        <bgColor rgb="FFFCE4E4"/>
      </patternFill>
    </fill>
    <fill>
      <patternFill patternType="solid">
        <fgColor rgb="FFE2EFDA"/>
        <bgColor rgb="FFF2F2F2"/>
      </patternFill>
    </fill>
    <fill>
      <patternFill patternType="solid">
        <fgColor rgb="FFFCE4E4"/>
        <bgColor rgb="FFF2F2F2"/>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0">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tru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2" borderId="1" xfId="0" applyFont="true" applyBorder="true" applyAlignment="true" applyProtection="false">
      <alignment horizontal="left" vertical="center" textRotation="0" wrapText="true" indent="0" shrinkToFit="false"/>
      <protection locked="true" hidden="false"/>
    </xf>
    <xf numFmtId="164" fontId="8" fillId="0" borderId="1" xfId="0" applyFont="true" applyBorder="true" applyAlignment="true" applyProtection="false">
      <alignment horizontal="general" vertical="top" textRotation="0" wrapText="true" indent="0" shrinkToFit="false"/>
      <protection locked="true" hidden="false"/>
    </xf>
    <xf numFmtId="164" fontId="9" fillId="0" borderId="1" xfId="0" applyFont="true" applyBorder="true" applyAlignment="true" applyProtection="false">
      <alignment horizontal="general" vertical="top" textRotation="0" wrapText="true" indent="0" shrinkToFit="false"/>
      <protection locked="true" hidden="false"/>
    </xf>
    <xf numFmtId="164" fontId="9" fillId="0" borderId="1" xfId="0" applyFont="true" applyBorder="true" applyAlignment="true" applyProtection="false">
      <alignment horizontal="center" vertical="top" textRotation="0" wrapText="false" indent="0" shrinkToFit="false"/>
      <protection locked="true" hidden="false"/>
    </xf>
    <xf numFmtId="164" fontId="8" fillId="3" borderId="1" xfId="0" applyFont="true" applyBorder="true" applyAlignment="true" applyProtection="false">
      <alignment horizontal="general" vertical="top" textRotation="0" wrapText="true" indent="0" shrinkToFit="false"/>
      <protection locked="true" hidden="false"/>
    </xf>
    <xf numFmtId="164" fontId="9" fillId="3" borderId="1" xfId="0" applyFont="true" applyBorder="true" applyAlignment="true" applyProtection="false">
      <alignment horizontal="general" vertical="top" textRotation="0" wrapText="true" indent="0" shrinkToFit="false"/>
      <protection locked="true" hidden="false"/>
    </xf>
    <xf numFmtId="164" fontId="9" fillId="3" borderId="1" xfId="0" applyFont="true" applyBorder="true" applyAlignment="true" applyProtection="false">
      <alignment horizontal="center" vertical="top" textRotation="0" wrapText="false" indent="0" shrinkToFit="false"/>
      <protection locked="true" hidden="false"/>
    </xf>
    <xf numFmtId="164" fontId="8" fillId="0" borderId="1" xfId="0" applyFont="true" applyBorder="true" applyAlignment="false" applyProtection="false">
      <alignment horizontal="general" vertical="bottom" textRotation="0" wrapText="false" indent="0" shrinkToFit="false"/>
      <protection locked="true" hidden="false"/>
    </xf>
    <xf numFmtId="164" fontId="8" fillId="4" borderId="1" xfId="0" applyFont="true" applyBorder="true" applyAlignment="true" applyProtection="false">
      <alignment horizontal="center" vertical="bottom" textRotation="0" wrapText="false" indent="0" shrinkToFit="false"/>
      <protection locked="true" hidden="false"/>
    </xf>
    <xf numFmtId="164" fontId="10" fillId="0" borderId="1" xfId="0" applyFont="true" applyBorder="true" applyAlignment="true" applyProtection="false">
      <alignment horizontal="general" vertical="top" textRotation="0" wrapText="true" indent="0" shrinkToFit="false"/>
      <protection locked="true" hidden="false"/>
    </xf>
    <xf numFmtId="164" fontId="11" fillId="0" borderId="1" xfId="0" applyFont="true" applyBorder="true" applyAlignment="true" applyProtection="false">
      <alignment horizontal="general" vertical="top" textRotation="0" wrapText="true" indent="0" shrinkToFit="false"/>
      <protection locked="true" hidden="false"/>
    </xf>
    <xf numFmtId="164" fontId="10" fillId="3" borderId="1" xfId="0" applyFont="true" applyBorder="true" applyAlignment="true" applyProtection="false">
      <alignment horizontal="general" vertical="top" textRotation="0" wrapText="true" indent="0" shrinkToFit="false"/>
      <protection locked="true" hidden="false"/>
    </xf>
    <xf numFmtId="164" fontId="11" fillId="3" borderId="1" xfId="0" applyFont="true" applyBorder="true" applyAlignment="true" applyProtection="false">
      <alignment horizontal="general" vertical="top" textRotation="0" wrapText="true" indent="0" shrinkToFit="false"/>
      <protection locked="true" hidden="false"/>
    </xf>
    <xf numFmtId="164" fontId="9" fillId="4" borderId="1" xfId="0" applyFont="true" applyBorder="true" applyAlignment="true" applyProtection="false">
      <alignment horizontal="center" vertical="top" textRotation="0" wrapText="false" indent="0" shrinkToFit="false"/>
      <protection locked="true" hidden="false"/>
    </xf>
    <xf numFmtId="164" fontId="9" fillId="5" borderId="1" xfId="0" applyFont="true" applyBorder="true" applyAlignment="true" applyProtection="false">
      <alignment horizontal="center" vertical="top" textRotation="0" wrapText="false" indent="0" shrinkToFit="false"/>
      <protection locked="true" hidden="false"/>
    </xf>
    <xf numFmtId="164" fontId="9" fillId="6" borderId="1" xfId="0" applyFont="true" applyBorder="true" applyAlignment="true" applyProtection="false">
      <alignment horizontal="center" vertical="top" textRotation="0" wrapText="false" indent="0" shrinkToFit="false"/>
      <protection locked="true" hidden="false"/>
    </xf>
    <xf numFmtId="164" fontId="10" fillId="0" borderId="1" xfId="0" applyFont="true" applyBorder="true" applyAlignment="true" applyProtection="false">
      <alignment horizontal="center" vertical="top" textRotation="0" wrapText="false" indent="0" shrinkToFit="false"/>
      <protection locked="true" hidden="false"/>
    </xf>
    <xf numFmtId="164" fontId="8" fillId="5" borderId="1" xfId="0" applyFont="true" applyBorder="true" applyAlignment="true" applyProtection="false">
      <alignment horizontal="center" vertical="top" textRotation="0" wrapText="false" indent="0" shrinkToFit="false"/>
      <protection locked="true" hidden="false"/>
    </xf>
    <xf numFmtId="164" fontId="10" fillId="3" borderId="1" xfId="0" applyFont="true" applyBorder="true" applyAlignment="true" applyProtection="false">
      <alignment horizontal="center" vertical="top" textRotation="0" wrapText="false" indent="0" shrinkToFit="false"/>
      <protection locked="true" hidden="false"/>
    </xf>
    <xf numFmtId="164" fontId="8" fillId="4" borderId="1" xfId="0" applyFont="true" applyBorder="true" applyAlignment="true" applyProtection="false">
      <alignment horizontal="center" vertical="top"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8" fillId="5" borderId="1" xfId="0" applyFont="true" applyBorder="true" applyAlignment="true" applyProtection="false">
      <alignment horizontal="center" vertical="bottom" textRotation="0" wrapText="false" indent="0" shrinkToFit="false"/>
      <protection locked="true" hidden="false"/>
    </xf>
    <xf numFmtId="164" fontId="12" fillId="0" borderId="1" xfId="0" applyFont="true" applyBorder="true" applyAlignment="true" applyProtection="false">
      <alignment horizontal="general" vertical="top" textRotation="0" wrapText="true" indent="0" shrinkToFit="false"/>
      <protection locked="true" hidden="false"/>
    </xf>
    <xf numFmtId="164" fontId="13" fillId="0" borderId="1" xfId="0" applyFont="true" applyBorder="true" applyAlignment="true" applyProtection="false">
      <alignment horizontal="general" vertical="top" textRotation="0" wrapText="true" indent="0" shrinkToFit="false"/>
      <protection locked="true" hidden="false"/>
    </xf>
    <xf numFmtId="164" fontId="12" fillId="3" borderId="1" xfId="0" applyFont="true" applyBorder="true" applyAlignment="true" applyProtection="false">
      <alignment horizontal="general" vertical="top" textRotation="0" wrapText="true" indent="0" shrinkToFit="false"/>
      <protection locked="true" hidden="false"/>
    </xf>
    <xf numFmtId="164" fontId="13" fillId="3"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F2F2F2"/>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CE4E4"/>
      <rgbColor rgb="FF3366FF"/>
      <rgbColor rgb="FF33CCCC"/>
      <rgbColor rgb="FF99CC00"/>
      <rgbColor rgb="FFFFCC00"/>
      <rgbColor rgb="FFFF9900"/>
      <rgbColor rgb="FFFF6600"/>
      <rgbColor rgb="FF595959"/>
      <rgbColor rgb="FF969696"/>
      <rgbColor rgb="FF1F3864"/>
      <rgbColor rgb="FF339966"/>
      <rgbColor rgb="FF003300"/>
      <rgbColor rgb="FF333300"/>
      <rgbColor rgb="FF9C2500"/>
      <rgbColor rgb="FF993366"/>
      <rgbColor rgb="FF2E5C8A"/>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34"/>
    <col collapsed="false" customWidth="true" hidden="false" outlineLevel="0" max="2" min="2" style="0" width="62"/>
    <col collapsed="false" customWidth="true" hidden="false" outlineLevel="0" max="3" min="3" style="0" width="22"/>
    <col collapsed="false" customWidth="true" hidden="false" outlineLevel="0" max="4" min="4" style="0" width="18"/>
  </cols>
  <sheetData>
    <row r="1" customFormat="false" ht="19.5" hidden="false" customHeight="true" outlineLevel="0" collapsed="false">
      <c r="A1" s="1" t="s">
        <v>0</v>
      </c>
      <c r="B1" s="1"/>
      <c r="C1" s="1"/>
      <c r="D1" s="1"/>
    </row>
    <row r="2" customFormat="false" ht="15.75" hidden="false" customHeight="true" outlineLevel="0" collapsed="false">
      <c r="A2" s="2" t="s">
        <v>1</v>
      </c>
      <c r="B2" s="2"/>
      <c r="C2" s="2"/>
      <c r="D2" s="2"/>
    </row>
    <row r="4" customFormat="false" ht="15" hidden="false" customHeight="false" outlineLevel="0" collapsed="false">
      <c r="A4" s="3" t="s">
        <v>2</v>
      </c>
    </row>
    <row r="5" customFormat="false" ht="27.75" hidden="false" customHeight="true" outlineLevel="0" collapsed="false">
      <c r="A5" s="4" t="s">
        <v>3</v>
      </c>
      <c r="B5" s="4" t="s">
        <v>4</v>
      </c>
      <c r="C5" s="4" t="s">
        <v>5</v>
      </c>
      <c r="D5" s="4" t="s">
        <v>6</v>
      </c>
    </row>
    <row r="6" customFormat="false" ht="23.85" hidden="false" customHeight="false" outlineLevel="0" collapsed="false">
      <c r="A6" s="5" t="s">
        <v>7</v>
      </c>
      <c r="B6" s="6" t="s">
        <v>8</v>
      </c>
      <c r="C6" s="6" t="s">
        <v>9</v>
      </c>
      <c r="D6" s="7" t="n">
        <v>3</v>
      </c>
    </row>
    <row r="7" customFormat="false" ht="23.85" hidden="false" customHeight="false" outlineLevel="0" collapsed="false">
      <c r="A7" s="8" t="s">
        <v>10</v>
      </c>
      <c r="B7" s="9" t="s">
        <v>11</v>
      </c>
      <c r="C7" s="9" t="s">
        <v>12</v>
      </c>
      <c r="D7" s="10" t="n">
        <v>2</v>
      </c>
    </row>
    <row r="8" customFormat="false" ht="35.05" hidden="false" customHeight="false" outlineLevel="0" collapsed="false">
      <c r="A8" s="5" t="s">
        <v>13</v>
      </c>
      <c r="B8" s="6" t="s">
        <v>14</v>
      </c>
      <c r="C8" s="6" t="s">
        <v>15</v>
      </c>
      <c r="D8" s="7" t="n">
        <v>3</v>
      </c>
    </row>
    <row r="9" customFormat="false" ht="15" hidden="false" customHeight="false" outlineLevel="0" collapsed="false">
      <c r="A9" s="8" t="s">
        <v>16</v>
      </c>
      <c r="B9" s="9" t="s">
        <v>17</v>
      </c>
      <c r="C9" s="9" t="s">
        <v>18</v>
      </c>
      <c r="D9" s="10" t="n">
        <v>2</v>
      </c>
    </row>
    <row r="11" customFormat="false" ht="15" hidden="false" customHeight="false" outlineLevel="0" collapsed="false">
      <c r="A11" s="11" t="s">
        <v>19</v>
      </c>
      <c r="D11" s="12" t="n">
        <f aca="false">SUM(D6:D9)</f>
        <v>10</v>
      </c>
    </row>
    <row r="14" customFormat="false" ht="15" hidden="false" customHeight="false" outlineLevel="0" collapsed="false">
      <c r="A14" s="3" t="s">
        <v>20</v>
      </c>
    </row>
    <row r="15" customFormat="false" ht="27.75" hidden="false" customHeight="true" outlineLevel="0" collapsed="false">
      <c r="A15" s="4" t="s">
        <v>21</v>
      </c>
      <c r="B15" s="4" t="s">
        <v>22</v>
      </c>
    </row>
    <row r="16" customFormat="false" ht="23.85" hidden="false" customHeight="false" outlineLevel="0" collapsed="false">
      <c r="A16" s="5" t="s">
        <v>23</v>
      </c>
      <c r="B16" s="6" t="s">
        <v>24</v>
      </c>
    </row>
    <row r="17" customFormat="false" ht="35.05" hidden="false" customHeight="false" outlineLevel="0" collapsed="false">
      <c r="A17" s="8" t="s">
        <v>25</v>
      </c>
      <c r="B17" s="9" t="s">
        <v>26</v>
      </c>
    </row>
    <row r="18" customFormat="false" ht="23.85" hidden="false" customHeight="false" outlineLevel="0" collapsed="false">
      <c r="A18" s="5" t="s">
        <v>27</v>
      </c>
      <c r="B18" s="6" t="s">
        <v>28</v>
      </c>
    </row>
    <row r="19" customFormat="false" ht="23.85" hidden="false" customHeight="false" outlineLevel="0" collapsed="false">
      <c r="A19" s="8" t="s">
        <v>29</v>
      </c>
      <c r="B19" s="9" t="s">
        <v>30</v>
      </c>
    </row>
    <row r="20" customFormat="false" ht="23.85" hidden="false" customHeight="false" outlineLevel="0" collapsed="false">
      <c r="A20" s="5" t="s">
        <v>31</v>
      </c>
      <c r="B20" s="6" t="s">
        <v>32</v>
      </c>
    </row>
  </sheetData>
  <mergeCells count="2">
    <mergeCell ref="A1:D1"/>
    <mergeCell ref="A2:D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22"/>
    <col collapsed="false" customWidth="true" hidden="false" outlineLevel="0" max="2" min="2" style="0" width="16"/>
    <col collapsed="false" customWidth="true" hidden="false" outlineLevel="0" max="3" min="3" style="0" width="44"/>
    <col collapsed="false" customWidth="true" hidden="false" outlineLevel="0" max="4" min="4" style="0" width="40"/>
    <col collapsed="false" customWidth="true" hidden="false" outlineLevel="0" max="5" min="5" style="0" width="30"/>
  </cols>
  <sheetData>
    <row r="1" customFormat="false" ht="19.5" hidden="false" customHeight="true" outlineLevel="0" collapsed="false">
      <c r="A1" s="1" t="s">
        <v>33</v>
      </c>
      <c r="B1" s="1"/>
      <c r="C1" s="1"/>
      <c r="D1" s="1"/>
      <c r="E1" s="1"/>
    </row>
    <row r="2" customFormat="false" ht="15.75" hidden="false" customHeight="true" outlineLevel="0" collapsed="false">
      <c r="A2" s="2" t="s">
        <v>34</v>
      </c>
      <c r="B2" s="2"/>
      <c r="C2" s="2"/>
      <c r="D2" s="2"/>
      <c r="E2" s="2"/>
    </row>
    <row r="4" customFormat="false" ht="27.75" hidden="false" customHeight="true" outlineLevel="0" collapsed="false">
      <c r="A4" s="4" t="s">
        <v>35</v>
      </c>
      <c r="B4" s="4" t="s">
        <v>36</v>
      </c>
      <c r="C4" s="4" t="s">
        <v>37</v>
      </c>
      <c r="D4" s="4" t="s">
        <v>38</v>
      </c>
      <c r="E4" s="4" t="s">
        <v>39</v>
      </c>
    </row>
    <row r="5" customFormat="false" ht="35.05" hidden="false" customHeight="false" outlineLevel="0" collapsed="false">
      <c r="A5" s="13" t="s">
        <v>40</v>
      </c>
      <c r="B5" s="14" t="s">
        <v>40</v>
      </c>
      <c r="C5" s="6" t="s">
        <v>41</v>
      </c>
      <c r="D5" s="6" t="s">
        <v>42</v>
      </c>
      <c r="E5" s="6" t="s">
        <v>43</v>
      </c>
    </row>
    <row r="6" customFormat="false" ht="35.05" hidden="false" customHeight="false" outlineLevel="0" collapsed="false">
      <c r="A6" s="15" t="s">
        <v>44</v>
      </c>
      <c r="B6" s="16" t="s">
        <v>45</v>
      </c>
      <c r="C6" s="9" t="s">
        <v>46</v>
      </c>
      <c r="D6" s="9" t="s">
        <v>47</v>
      </c>
      <c r="E6" s="9" t="s">
        <v>48</v>
      </c>
    </row>
    <row r="7" customFormat="false" ht="35.05" hidden="false" customHeight="false" outlineLevel="0" collapsed="false">
      <c r="A7" s="13" t="s">
        <v>49</v>
      </c>
      <c r="B7" s="14" t="s">
        <v>49</v>
      </c>
      <c r="C7" s="6" t="s">
        <v>50</v>
      </c>
      <c r="D7" s="6" t="s">
        <v>51</v>
      </c>
      <c r="E7" s="6" t="s">
        <v>52</v>
      </c>
    </row>
    <row r="8" customFormat="false" ht="46.25" hidden="false" customHeight="false" outlineLevel="0" collapsed="false">
      <c r="A8" s="15" t="s">
        <v>53</v>
      </c>
      <c r="B8" s="16" t="s">
        <v>54</v>
      </c>
      <c r="C8" s="9" t="s">
        <v>55</v>
      </c>
      <c r="D8" s="9" t="s">
        <v>56</v>
      </c>
      <c r="E8" s="9" t="s">
        <v>57</v>
      </c>
    </row>
    <row r="9" customFormat="false" ht="35.05" hidden="false" customHeight="false" outlineLevel="0" collapsed="false">
      <c r="A9" s="13" t="s">
        <v>58</v>
      </c>
      <c r="B9" s="14" t="s">
        <v>58</v>
      </c>
      <c r="C9" s="6" t="s">
        <v>59</v>
      </c>
      <c r="D9" s="6" t="s">
        <v>60</v>
      </c>
      <c r="E9" s="6" t="s">
        <v>61</v>
      </c>
    </row>
    <row r="10" customFormat="false" ht="35.05" hidden="false" customHeight="false" outlineLevel="0" collapsed="false">
      <c r="A10" s="15" t="s">
        <v>62</v>
      </c>
      <c r="B10" s="16" t="s">
        <v>62</v>
      </c>
      <c r="C10" s="9" t="s">
        <v>63</v>
      </c>
      <c r="D10" s="9" t="s">
        <v>64</v>
      </c>
      <c r="E10" s="9" t="s">
        <v>65</v>
      </c>
    </row>
    <row r="11" customFormat="false" ht="35.05" hidden="false" customHeight="false" outlineLevel="0" collapsed="false">
      <c r="A11" s="13" t="s">
        <v>66</v>
      </c>
      <c r="B11" s="14" t="s">
        <v>66</v>
      </c>
      <c r="C11" s="6" t="s">
        <v>67</v>
      </c>
      <c r="D11" s="6" t="s">
        <v>68</v>
      </c>
      <c r="E11" s="6" t="s">
        <v>69</v>
      </c>
    </row>
    <row r="12" customFormat="false" ht="35.05" hidden="false" customHeight="false" outlineLevel="0" collapsed="false">
      <c r="A12" s="15" t="s">
        <v>70</v>
      </c>
      <c r="B12" s="16" t="s">
        <v>70</v>
      </c>
      <c r="C12" s="9" t="s">
        <v>71</v>
      </c>
      <c r="D12" s="9" t="s">
        <v>72</v>
      </c>
      <c r="E12" s="9" t="s">
        <v>73</v>
      </c>
    </row>
    <row r="13" customFormat="false" ht="23.85" hidden="false" customHeight="false" outlineLevel="0" collapsed="false">
      <c r="A13" s="13" t="s">
        <v>74</v>
      </c>
      <c r="B13" s="14" t="s">
        <v>74</v>
      </c>
      <c r="C13" s="6" t="s">
        <v>75</v>
      </c>
      <c r="D13" s="6" t="s">
        <v>76</v>
      </c>
      <c r="E13" s="6" t="s">
        <v>77</v>
      </c>
    </row>
    <row r="14" customFormat="false" ht="35.05" hidden="false" customHeight="false" outlineLevel="0" collapsed="false">
      <c r="A14" s="15" t="s">
        <v>78</v>
      </c>
      <c r="B14" s="16" t="s">
        <v>78</v>
      </c>
      <c r="C14" s="9" t="s">
        <v>79</v>
      </c>
      <c r="D14" s="9" t="s">
        <v>80</v>
      </c>
      <c r="E14" s="9" t="s">
        <v>81</v>
      </c>
    </row>
  </sheetData>
  <mergeCells count="2">
    <mergeCell ref="A1:E1"/>
    <mergeCell ref="A2:E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26"/>
    <col collapsed="false" customWidth="true" hidden="false" outlineLevel="0" max="2" min="2" style="0" width="8"/>
    <col collapsed="false" customWidth="true" hidden="false" outlineLevel="0" max="3" min="3" style="0" width="26"/>
    <col collapsed="false" customWidth="true" hidden="false" outlineLevel="0" max="4" min="4" style="0" width="14"/>
    <col collapsed="false" customWidth="true" hidden="false" outlineLevel="0" max="5" min="5" style="0" width="22"/>
    <col collapsed="false" customWidth="true" hidden="false" outlineLevel="0" max="6" min="6" style="0" width="46"/>
  </cols>
  <sheetData>
    <row r="1" customFormat="false" ht="19.5" hidden="false" customHeight="true" outlineLevel="0" collapsed="false">
      <c r="A1" s="1" t="s">
        <v>82</v>
      </c>
      <c r="B1" s="1"/>
      <c r="C1" s="1"/>
      <c r="D1" s="1"/>
      <c r="E1" s="1"/>
      <c r="F1" s="1"/>
    </row>
    <row r="2" customFormat="false" ht="15.75" hidden="false" customHeight="true" outlineLevel="0" collapsed="false">
      <c r="A2" s="2" t="s">
        <v>83</v>
      </c>
      <c r="B2" s="2"/>
      <c r="C2" s="2"/>
      <c r="D2" s="2"/>
      <c r="E2" s="2"/>
      <c r="F2" s="2"/>
    </row>
    <row r="4" customFormat="false" ht="27.75" hidden="false" customHeight="true" outlineLevel="0" collapsed="false">
      <c r="A4" s="4" t="s">
        <v>84</v>
      </c>
      <c r="B4" s="4"/>
      <c r="C4" s="4" t="s">
        <v>85</v>
      </c>
      <c r="D4" s="4" t="s">
        <v>86</v>
      </c>
      <c r="E4" s="4" t="s">
        <v>87</v>
      </c>
      <c r="F4" s="4" t="s">
        <v>88</v>
      </c>
    </row>
    <row r="5" customFormat="false" ht="23.85" hidden="false" customHeight="false" outlineLevel="0" collapsed="false">
      <c r="A5" s="5" t="s">
        <v>40</v>
      </c>
      <c r="B5" s="7" t="s">
        <v>89</v>
      </c>
      <c r="C5" s="5" t="s">
        <v>44</v>
      </c>
      <c r="D5" s="7" t="s">
        <v>90</v>
      </c>
      <c r="E5" s="17" t="s">
        <v>91</v>
      </c>
      <c r="F5" s="6" t="s">
        <v>92</v>
      </c>
    </row>
    <row r="6" customFormat="false" ht="35.05" hidden="false" customHeight="false" outlineLevel="0" collapsed="false">
      <c r="A6" s="8" t="s">
        <v>44</v>
      </c>
      <c r="B6" s="10" t="s">
        <v>89</v>
      </c>
      <c r="C6" s="8" t="s">
        <v>53</v>
      </c>
      <c r="D6" s="10" t="s">
        <v>90</v>
      </c>
      <c r="E6" s="18" t="s">
        <v>93</v>
      </c>
      <c r="F6" s="9" t="s">
        <v>94</v>
      </c>
    </row>
    <row r="7" customFormat="false" ht="35.05" hidden="false" customHeight="false" outlineLevel="0" collapsed="false">
      <c r="A7" s="5" t="s">
        <v>44</v>
      </c>
      <c r="B7" s="7" t="s">
        <v>89</v>
      </c>
      <c r="C7" s="5" t="s">
        <v>62</v>
      </c>
      <c r="D7" s="7" t="s">
        <v>90</v>
      </c>
      <c r="E7" s="19" t="s">
        <v>95</v>
      </c>
      <c r="F7" s="6" t="s">
        <v>96</v>
      </c>
    </row>
    <row r="8" customFormat="false" ht="15" hidden="false" customHeight="false" outlineLevel="0" collapsed="false">
      <c r="A8" s="8" t="s">
        <v>44</v>
      </c>
      <c r="B8" s="10" t="s">
        <v>89</v>
      </c>
      <c r="C8" s="8" t="s">
        <v>78</v>
      </c>
      <c r="D8" s="10" t="s">
        <v>90</v>
      </c>
      <c r="E8" s="19" t="s">
        <v>95</v>
      </c>
      <c r="F8" s="9" t="s">
        <v>97</v>
      </c>
    </row>
    <row r="9" customFormat="false" ht="23.85" hidden="false" customHeight="false" outlineLevel="0" collapsed="false">
      <c r="A9" s="5" t="s">
        <v>53</v>
      </c>
      <c r="B9" s="7" t="s">
        <v>89</v>
      </c>
      <c r="C9" s="5" t="s">
        <v>58</v>
      </c>
      <c r="D9" s="7" t="s">
        <v>90</v>
      </c>
      <c r="E9" s="18" t="s">
        <v>93</v>
      </c>
      <c r="F9" s="6" t="s">
        <v>98</v>
      </c>
    </row>
    <row r="10" customFormat="false" ht="23.85" hidden="false" customHeight="false" outlineLevel="0" collapsed="false">
      <c r="A10" s="8" t="s">
        <v>53</v>
      </c>
      <c r="B10" s="10" t="s">
        <v>89</v>
      </c>
      <c r="C10" s="8" t="s">
        <v>62</v>
      </c>
      <c r="D10" s="10" t="s">
        <v>90</v>
      </c>
      <c r="E10" s="17" t="s">
        <v>91</v>
      </c>
      <c r="F10" s="9" t="s">
        <v>99</v>
      </c>
    </row>
    <row r="11" customFormat="false" ht="15" hidden="false" customHeight="false" outlineLevel="0" collapsed="false">
      <c r="A11" s="5" t="s">
        <v>74</v>
      </c>
      <c r="B11" s="7" t="s">
        <v>89</v>
      </c>
      <c r="C11" s="5" t="s">
        <v>78</v>
      </c>
      <c r="D11" s="7" t="s">
        <v>90</v>
      </c>
      <c r="E11" s="18" t="s">
        <v>93</v>
      </c>
      <c r="F11" s="6" t="s">
        <v>100</v>
      </c>
    </row>
    <row r="12" customFormat="false" ht="23.85" hidden="false" customHeight="false" outlineLevel="0" collapsed="false">
      <c r="A12" s="8" t="s">
        <v>49</v>
      </c>
      <c r="B12" s="10" t="s">
        <v>89</v>
      </c>
      <c r="C12" s="8" t="s">
        <v>70</v>
      </c>
      <c r="D12" s="10" t="s">
        <v>90</v>
      </c>
      <c r="E12" s="10" t="s">
        <v>101</v>
      </c>
      <c r="F12" s="9" t="s">
        <v>102</v>
      </c>
    </row>
    <row r="13" customFormat="false" ht="15" hidden="false" customHeight="false" outlineLevel="0" collapsed="false">
      <c r="A13" s="5" t="s">
        <v>49</v>
      </c>
      <c r="B13" s="7" t="s">
        <v>89</v>
      </c>
      <c r="C13" s="5" t="s">
        <v>66</v>
      </c>
      <c r="D13" s="7" t="s">
        <v>90</v>
      </c>
      <c r="E13" s="7" t="s">
        <v>101</v>
      </c>
      <c r="F13" s="6" t="s">
        <v>103</v>
      </c>
    </row>
  </sheetData>
  <mergeCells count="2">
    <mergeCell ref="A1:F1"/>
    <mergeCell ref="A2:F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8"/>
    <col collapsed="false" customWidth="true" hidden="false" outlineLevel="0" max="2" min="2" style="0" width="30"/>
    <col collapsed="false" customWidth="true" hidden="false" outlineLevel="0" max="4" min="3" style="0" width="52"/>
    <col collapsed="false" customWidth="true" hidden="false" outlineLevel="0" max="5" min="5" style="0" width="16"/>
    <col collapsed="false" customWidth="true" hidden="false" outlineLevel="0" max="6" min="6" style="0" width="14"/>
  </cols>
  <sheetData>
    <row r="1" customFormat="false" ht="19.5" hidden="false" customHeight="true" outlineLevel="0" collapsed="false">
      <c r="A1" s="1" t="s">
        <v>104</v>
      </c>
      <c r="B1" s="1"/>
      <c r="C1" s="1"/>
      <c r="D1" s="1"/>
      <c r="E1" s="1"/>
      <c r="F1" s="1"/>
    </row>
    <row r="2" customFormat="false" ht="15.75" hidden="false" customHeight="true" outlineLevel="0" collapsed="false">
      <c r="A2" s="2" t="s">
        <v>105</v>
      </c>
      <c r="B2" s="2"/>
      <c r="C2" s="2"/>
      <c r="D2" s="2"/>
      <c r="E2" s="2"/>
      <c r="F2" s="2"/>
    </row>
    <row r="4" customFormat="false" ht="27.75" hidden="false" customHeight="true" outlineLevel="0" collapsed="false">
      <c r="A4" s="4" t="s">
        <v>106</v>
      </c>
      <c r="B4" s="4" t="s">
        <v>107</v>
      </c>
      <c r="C4" s="4" t="s">
        <v>108</v>
      </c>
      <c r="D4" s="4" t="s">
        <v>109</v>
      </c>
      <c r="E4" s="4" t="s">
        <v>110</v>
      </c>
      <c r="F4" s="4" t="s">
        <v>111</v>
      </c>
    </row>
    <row r="5" customFormat="false" ht="46.25" hidden="false" customHeight="false" outlineLevel="0" collapsed="false">
      <c r="A5" s="20" t="s">
        <v>112</v>
      </c>
      <c r="B5" s="5" t="s">
        <v>113</v>
      </c>
      <c r="C5" s="6" t="s">
        <v>114</v>
      </c>
      <c r="D5" s="6" t="s">
        <v>115</v>
      </c>
      <c r="E5" s="21" t="s">
        <v>116</v>
      </c>
      <c r="F5" s="7" t="s">
        <v>117</v>
      </c>
    </row>
    <row r="6" customFormat="false" ht="46.25" hidden="false" customHeight="false" outlineLevel="0" collapsed="false">
      <c r="A6" s="22" t="s">
        <v>118</v>
      </c>
      <c r="B6" s="8" t="s">
        <v>119</v>
      </c>
      <c r="C6" s="9" t="s">
        <v>120</v>
      </c>
      <c r="D6" s="9" t="s">
        <v>121</v>
      </c>
      <c r="E6" s="21" t="s">
        <v>116</v>
      </c>
      <c r="F6" s="10" t="s">
        <v>117</v>
      </c>
    </row>
    <row r="7" customFormat="false" ht="46.25" hidden="false" customHeight="false" outlineLevel="0" collapsed="false">
      <c r="A7" s="20" t="s">
        <v>122</v>
      </c>
      <c r="B7" s="5" t="s">
        <v>123</v>
      </c>
      <c r="C7" s="6" t="s">
        <v>124</v>
      </c>
      <c r="D7" s="6" t="s">
        <v>125</v>
      </c>
      <c r="E7" s="21" t="s">
        <v>116</v>
      </c>
      <c r="F7" s="7" t="s">
        <v>117</v>
      </c>
    </row>
    <row r="8" customFormat="false" ht="57.45" hidden="false" customHeight="false" outlineLevel="0" collapsed="false">
      <c r="A8" s="22" t="s">
        <v>126</v>
      </c>
      <c r="B8" s="8" t="s">
        <v>127</v>
      </c>
      <c r="C8" s="9" t="s">
        <v>128</v>
      </c>
      <c r="D8" s="9" t="s">
        <v>129</v>
      </c>
      <c r="E8" s="21" t="s">
        <v>116</v>
      </c>
      <c r="F8" s="10" t="s">
        <v>117</v>
      </c>
    </row>
    <row r="9" customFormat="false" ht="57.45" hidden="false" customHeight="false" outlineLevel="0" collapsed="false">
      <c r="A9" s="20" t="s">
        <v>130</v>
      </c>
      <c r="B9" s="5" t="s">
        <v>131</v>
      </c>
      <c r="C9" s="6" t="s">
        <v>132</v>
      </c>
      <c r="D9" s="6" t="s">
        <v>133</v>
      </c>
      <c r="E9" s="21" t="s">
        <v>116</v>
      </c>
      <c r="F9" s="7" t="s">
        <v>117</v>
      </c>
    </row>
    <row r="10" customFormat="false" ht="35.05" hidden="false" customHeight="false" outlineLevel="0" collapsed="false">
      <c r="A10" s="22" t="s">
        <v>134</v>
      </c>
      <c r="B10" s="8" t="s">
        <v>135</v>
      </c>
      <c r="C10" s="9" t="s">
        <v>136</v>
      </c>
      <c r="D10" s="9" t="s">
        <v>137</v>
      </c>
      <c r="E10" s="21" t="s">
        <v>116</v>
      </c>
      <c r="F10" s="10" t="s">
        <v>117</v>
      </c>
    </row>
    <row r="11" customFormat="false" ht="46.25" hidden="false" customHeight="false" outlineLevel="0" collapsed="false">
      <c r="A11" s="20" t="s">
        <v>138</v>
      </c>
      <c r="B11" s="5" t="s">
        <v>139</v>
      </c>
      <c r="C11" s="6" t="s">
        <v>140</v>
      </c>
      <c r="D11" s="6" t="s">
        <v>141</v>
      </c>
      <c r="E11" s="21" t="s">
        <v>116</v>
      </c>
      <c r="F11" s="7" t="s">
        <v>117</v>
      </c>
    </row>
    <row r="12" customFormat="false" ht="57.45" hidden="false" customHeight="false" outlineLevel="0" collapsed="false">
      <c r="A12" s="22" t="s">
        <v>142</v>
      </c>
      <c r="B12" s="8" t="s">
        <v>143</v>
      </c>
      <c r="C12" s="9" t="s">
        <v>144</v>
      </c>
      <c r="D12" s="9" t="s">
        <v>145</v>
      </c>
      <c r="E12" s="21" t="s">
        <v>116</v>
      </c>
      <c r="F12" s="10" t="s">
        <v>117</v>
      </c>
    </row>
    <row r="13" customFormat="false" ht="46.25" hidden="false" customHeight="false" outlineLevel="0" collapsed="false">
      <c r="A13" s="20" t="s">
        <v>146</v>
      </c>
      <c r="B13" s="5" t="s">
        <v>147</v>
      </c>
      <c r="C13" s="6" t="s">
        <v>148</v>
      </c>
      <c r="D13" s="6" t="s">
        <v>149</v>
      </c>
      <c r="E13" s="21" t="s">
        <v>116</v>
      </c>
      <c r="F13" s="7" t="s">
        <v>117</v>
      </c>
    </row>
    <row r="14" customFormat="false" ht="57.45" hidden="false" customHeight="false" outlineLevel="0" collapsed="false">
      <c r="A14" s="22" t="s">
        <v>150</v>
      </c>
      <c r="B14" s="8" t="s">
        <v>151</v>
      </c>
      <c r="C14" s="9" t="s">
        <v>152</v>
      </c>
      <c r="D14" s="9" t="s">
        <v>153</v>
      </c>
      <c r="E14" s="23" t="s">
        <v>154</v>
      </c>
      <c r="F14" s="10" t="s">
        <v>117</v>
      </c>
    </row>
    <row r="15" customFormat="false" ht="35.05" hidden="false" customHeight="false" outlineLevel="0" collapsed="false">
      <c r="A15" s="20" t="s">
        <v>155</v>
      </c>
      <c r="B15" s="5" t="s">
        <v>156</v>
      </c>
      <c r="C15" s="6" t="s">
        <v>157</v>
      </c>
      <c r="D15" s="6" t="s">
        <v>158</v>
      </c>
      <c r="E15" s="23" t="s">
        <v>154</v>
      </c>
      <c r="F15" s="7" t="s">
        <v>117</v>
      </c>
    </row>
    <row r="16" customFormat="false" ht="35.05" hidden="false" customHeight="false" outlineLevel="0" collapsed="false">
      <c r="A16" s="22" t="s">
        <v>159</v>
      </c>
      <c r="B16" s="8" t="s">
        <v>160</v>
      </c>
      <c r="C16" s="9" t="s">
        <v>161</v>
      </c>
      <c r="D16" s="9" t="s">
        <v>162</v>
      </c>
      <c r="E16" s="23" t="s">
        <v>154</v>
      </c>
      <c r="F16" s="19" t="s">
        <v>163</v>
      </c>
    </row>
    <row r="18" customFormat="false" ht="15" hidden="false" customHeight="false" outlineLevel="0" collapsed="false">
      <c r="B18" s="24" t="s">
        <v>164</v>
      </c>
      <c r="E18" s="25" t="n">
        <f aca="false">COUNTIF(E5:E16,"Selesai")</f>
        <v>9</v>
      </c>
    </row>
    <row r="19" customFormat="false" ht="15" hidden="false" customHeight="false" outlineLevel="0" collapsed="false">
      <c r="B19" s="24" t="s">
        <v>165</v>
      </c>
      <c r="E19" s="12" t="n">
        <f aca="false">COUNTIF(E5:E16,"Belum")</f>
        <v>3</v>
      </c>
    </row>
  </sheetData>
  <mergeCells count="2">
    <mergeCell ref="A1:F1"/>
    <mergeCell ref="A2:F2"/>
  </mergeCells>
  <dataValidations count="1">
    <dataValidation allowBlank="false" errorStyle="stop" operator="between" showDropDown="false" showErrorMessage="false" showInputMessage="false" sqref="E5:E16" type="list">
      <formula1>"Selesai,Belum"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2" min="1" style="0" width="26"/>
    <col collapsed="false" customWidth="true" hidden="false" outlineLevel="0" max="4" min="3" style="0" width="46"/>
  </cols>
  <sheetData>
    <row r="1" customFormat="false" ht="19.5" hidden="false" customHeight="true" outlineLevel="0" collapsed="false">
      <c r="A1" s="1" t="s">
        <v>166</v>
      </c>
      <c r="B1" s="1"/>
      <c r="C1" s="1"/>
      <c r="D1" s="1"/>
    </row>
    <row r="2" customFormat="false" ht="15.75" hidden="false" customHeight="true" outlineLevel="0" collapsed="false">
      <c r="A2" s="2" t="s">
        <v>167</v>
      </c>
      <c r="B2" s="2"/>
      <c r="C2" s="2"/>
      <c r="D2" s="2"/>
    </row>
    <row r="4" customFormat="false" ht="27.75" hidden="false" customHeight="true" outlineLevel="0" collapsed="false">
      <c r="A4" s="4" t="s">
        <v>168</v>
      </c>
      <c r="B4" s="4" t="s">
        <v>169</v>
      </c>
      <c r="C4" s="4" t="s">
        <v>170</v>
      </c>
      <c r="D4" s="4" t="s">
        <v>171</v>
      </c>
    </row>
    <row r="5" customFormat="false" ht="35.05" hidden="false" customHeight="false" outlineLevel="0" collapsed="false">
      <c r="A5" s="5" t="s">
        <v>53</v>
      </c>
      <c r="B5" s="26" t="s">
        <v>172</v>
      </c>
      <c r="C5" s="6" t="s">
        <v>173</v>
      </c>
      <c r="D5" s="27" t="s">
        <v>174</v>
      </c>
    </row>
    <row r="6" customFormat="false" ht="32.8" hidden="false" customHeight="false" outlineLevel="0" collapsed="false">
      <c r="A6" s="8" t="s">
        <v>53</v>
      </c>
      <c r="B6" s="28" t="s">
        <v>175</v>
      </c>
      <c r="C6" s="9" t="s">
        <v>176</v>
      </c>
      <c r="D6" s="29" t="s">
        <v>177</v>
      </c>
    </row>
    <row r="7" customFormat="false" ht="23.85" hidden="false" customHeight="false" outlineLevel="0" collapsed="false">
      <c r="A7" s="5" t="s">
        <v>53</v>
      </c>
      <c r="B7" s="26" t="s">
        <v>178</v>
      </c>
      <c r="C7" s="6" t="s">
        <v>179</v>
      </c>
      <c r="D7" s="27" t="s">
        <v>180</v>
      </c>
    </row>
    <row r="8" customFormat="false" ht="23.85" hidden="false" customHeight="false" outlineLevel="0" collapsed="false">
      <c r="A8" s="8" t="s">
        <v>44</v>
      </c>
      <c r="B8" s="28" t="s">
        <v>181</v>
      </c>
      <c r="C8" s="9" t="s">
        <v>182</v>
      </c>
      <c r="D8" s="29" t="s">
        <v>183</v>
      </c>
    </row>
    <row r="9" customFormat="false" ht="23.85" hidden="false" customHeight="false" outlineLevel="0" collapsed="false">
      <c r="A9" s="5" t="s">
        <v>62</v>
      </c>
      <c r="B9" s="26" t="s">
        <v>184</v>
      </c>
      <c r="C9" s="6" t="s">
        <v>185</v>
      </c>
      <c r="D9" s="27" t="s">
        <v>186</v>
      </c>
    </row>
    <row r="10" customFormat="false" ht="23.85" hidden="false" customHeight="false" outlineLevel="0" collapsed="false">
      <c r="A10" s="8" t="s">
        <v>62</v>
      </c>
      <c r="B10" s="28" t="s">
        <v>187</v>
      </c>
      <c r="C10" s="9" t="s">
        <v>188</v>
      </c>
      <c r="D10" s="29" t="s">
        <v>189</v>
      </c>
    </row>
    <row r="11" customFormat="false" ht="23.85" hidden="false" customHeight="false" outlineLevel="0" collapsed="false">
      <c r="A11" s="5" t="s">
        <v>62</v>
      </c>
      <c r="B11" s="26" t="s">
        <v>190</v>
      </c>
      <c r="C11" s="6" t="s">
        <v>191</v>
      </c>
      <c r="D11" s="27" t="s">
        <v>192</v>
      </c>
    </row>
    <row r="12" customFormat="false" ht="23.85" hidden="false" customHeight="false" outlineLevel="0" collapsed="false">
      <c r="A12" s="8" t="s">
        <v>70</v>
      </c>
      <c r="B12" s="28" t="s">
        <v>193</v>
      </c>
      <c r="C12" s="9" t="s">
        <v>194</v>
      </c>
      <c r="D12" s="29" t="s">
        <v>195</v>
      </c>
    </row>
    <row r="13" customFormat="false" ht="23.85" hidden="false" customHeight="false" outlineLevel="0" collapsed="false">
      <c r="A13" s="5" t="s">
        <v>58</v>
      </c>
      <c r="B13" s="26" t="s">
        <v>196</v>
      </c>
      <c r="C13" s="6" t="s">
        <v>197</v>
      </c>
      <c r="D13" s="27" t="s">
        <v>198</v>
      </c>
    </row>
  </sheetData>
  <mergeCells count="2">
    <mergeCell ref="A1:D1"/>
    <mergeCell ref="A2:D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10"/>
    <col collapsed="false" customWidth="true" hidden="false" outlineLevel="0" max="2" min="2" style="0" width="34"/>
    <col collapsed="false" customWidth="true" hidden="false" outlineLevel="0" max="3" min="3" style="0" width="54"/>
    <col collapsed="false" customWidth="true" hidden="false" outlineLevel="0" max="5" min="4" style="0" width="16"/>
    <col collapsed="false" customWidth="true" hidden="false" outlineLevel="0" max="6" min="6" style="0" width="30"/>
  </cols>
  <sheetData>
    <row r="1" customFormat="false" ht="19.5" hidden="false" customHeight="true" outlineLevel="0" collapsed="false">
      <c r="A1" s="1" t="s">
        <v>199</v>
      </c>
      <c r="B1" s="1"/>
      <c r="C1" s="1"/>
      <c r="D1" s="1"/>
      <c r="E1" s="1"/>
      <c r="F1" s="1"/>
    </row>
    <row r="2" customFormat="false" ht="15.75" hidden="false" customHeight="true" outlineLevel="0" collapsed="false">
      <c r="A2" s="2" t="s">
        <v>200</v>
      </c>
      <c r="B2" s="2"/>
      <c r="C2" s="2"/>
      <c r="D2" s="2"/>
      <c r="E2" s="2"/>
      <c r="F2" s="2"/>
    </row>
    <row r="4" customFormat="false" ht="27.75" hidden="false" customHeight="true" outlineLevel="0" collapsed="false">
      <c r="A4" s="4" t="s">
        <v>106</v>
      </c>
      <c r="B4" s="4" t="s">
        <v>201</v>
      </c>
      <c r="C4" s="4" t="s">
        <v>202</v>
      </c>
      <c r="D4" s="4" t="s">
        <v>111</v>
      </c>
      <c r="E4" s="4" t="s">
        <v>203</v>
      </c>
      <c r="F4" s="4" t="s">
        <v>204</v>
      </c>
    </row>
    <row r="5" customFormat="false" ht="35.05" hidden="false" customHeight="false" outlineLevel="0" collapsed="false">
      <c r="A5" s="20" t="s">
        <v>205</v>
      </c>
      <c r="B5" s="5" t="s">
        <v>206</v>
      </c>
      <c r="C5" s="6" t="s">
        <v>207</v>
      </c>
      <c r="D5" s="18" t="s">
        <v>117</v>
      </c>
      <c r="E5" s="7" t="s">
        <v>150</v>
      </c>
      <c r="F5" s="6" t="s">
        <v>101</v>
      </c>
    </row>
    <row r="6" customFormat="false" ht="23.85" hidden="false" customHeight="false" outlineLevel="0" collapsed="false">
      <c r="A6" s="22" t="s">
        <v>208</v>
      </c>
      <c r="B6" s="8" t="s">
        <v>209</v>
      </c>
      <c r="C6" s="9" t="s">
        <v>210</v>
      </c>
      <c r="D6" s="18" t="s">
        <v>117</v>
      </c>
      <c r="E6" s="10" t="s">
        <v>155</v>
      </c>
      <c r="F6" s="9" t="s">
        <v>211</v>
      </c>
    </row>
    <row r="7" customFormat="false" ht="23.85" hidden="false" customHeight="false" outlineLevel="0" collapsed="false">
      <c r="A7" s="20" t="s">
        <v>212</v>
      </c>
      <c r="B7" s="5" t="s">
        <v>213</v>
      </c>
      <c r="C7" s="6" t="s">
        <v>214</v>
      </c>
      <c r="D7" s="19" t="s">
        <v>163</v>
      </c>
      <c r="E7" s="7" t="s">
        <v>159</v>
      </c>
      <c r="F7" s="6" t="s">
        <v>205</v>
      </c>
    </row>
    <row r="8" customFormat="false" ht="23.85" hidden="false" customHeight="false" outlineLevel="0" collapsed="false">
      <c r="A8" s="22" t="s">
        <v>215</v>
      </c>
      <c r="B8" s="8" t="s">
        <v>216</v>
      </c>
      <c r="C8" s="9" t="s">
        <v>217</v>
      </c>
      <c r="D8" s="18" t="s">
        <v>117</v>
      </c>
      <c r="E8" s="10" t="s">
        <v>138</v>
      </c>
      <c r="F8" s="9" t="s">
        <v>101</v>
      </c>
    </row>
    <row r="9" customFormat="false" ht="23.85" hidden="false" customHeight="false" outlineLevel="0" collapsed="false">
      <c r="A9" s="20" t="s">
        <v>218</v>
      </c>
      <c r="B9" s="5" t="s">
        <v>219</v>
      </c>
      <c r="C9" s="6" t="s">
        <v>220</v>
      </c>
      <c r="D9" s="18" t="s">
        <v>117</v>
      </c>
      <c r="E9" s="7" t="s">
        <v>138</v>
      </c>
      <c r="F9" s="6" t="s">
        <v>215</v>
      </c>
    </row>
  </sheetData>
  <mergeCells count="2">
    <mergeCell ref="A1:F1"/>
    <mergeCell ref="A2:F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LibreOffice/26.2.4.2$Linux_X86_64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2026-08-06T07:56:02Z</dcterms:created>
  <dc:creator>openpyxl</dc:creator>
  <dc:description/>
  <dc:language>en-US</dc:language>
  <cp:lastModifiedBy/>
  <dcterms:modified xsi:type="dcterms:W3CDTF">2026-08-06T07:56:02Z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