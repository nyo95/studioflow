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Company &amp; Brand (SF)" sheetId="2" state="visible" r:id="rId4"/>
    <sheet name="SKU Catalog (SF)" sheetId="3" state="visible" r:id="rId5"/>
    <sheet name="Harga Material (BQ)" sheetId="4" state="visible" r:id="rId6"/>
    <sheet name="Harga Upah (BQ)" sheetId="5" state="visible" r:id="rId7"/>
    <sheet name="Harga Material+Upah (BQ)" sheetId="6" state="visible" r:id="rId8"/>
    <sheet name="Entity Relationship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<sst xmlns="http://schemas.openxmlformats.org/spreadsheetml/2006/main" count="393" uniqueCount="253">
  <si>
    <t xml:space="preserve">MASTER DATA — Schema Reference</t>
  </si>
  <si>
    <t xml:space="preserve">Dokumen ini menggambarkan skema database Master Data yang terhubung ke StudioFlow dan BQ.</t>
  </si>
  <si>
    <t xml:space="preserve">LEGEND</t>
  </si>
  <si>
    <t xml:space="preserve">Keterangan</t>
  </si>
  <si>
    <t xml:space="preserve">█ NAVY</t>
  </si>
  <si>
    <t xml:space="preserve">Tabel StudioFlow — fleksibel, bisa menyimpan gambar &amp; link media</t>
  </si>
  <si>
    <t xml:space="preserve">█ HIJAU</t>
  </si>
  <si>
    <t xml:space="preserve">Tabel BQ — text/number only, tanpa media, dioptimalkan untuk kalkulasi</t>
  </si>
  <si>
    <t xml:space="preserve">█ COKLAT</t>
  </si>
  <si>
    <t xml:space="preserve">Tabel junction/link (CompanyLink, BrandLink, dll.)</t>
  </si>
  <si>
    <t xml:space="preserve">Kuning</t>
  </si>
  <si>
    <t xml:space="preserve">Kolom Foreign Key — menunjuk ke tabel lain</t>
  </si>
  <si>
    <t xml:space="preserve">Hijau muda</t>
  </si>
  <si>
    <t xml:space="preserve">Kolom JSON — contoh: {"spec_1":"Birch","spec_2":"Bending","dimension":"1220x2440"}</t>
  </si>
  <si>
    <t xml:space="preserve">SCHEMA MAP</t>
  </si>
  <si>
    <t xml:space="preserve">STUDIOFLOW SIDE</t>
  </si>
  <si>
    <t xml:space="preserve">Company</t>
  </si>
  <si>
    <t xml:space="preserve">Identitas perusahaan (PT / CV). Satu company punya banyak brand.</t>
  </si>
  <si>
    <t xml:space="preserve">  → CompanyContact</t>
  </si>
  <si>
    <t xml:space="preserve">Kontak sales per company (nama, nomor, email)</t>
  </si>
  <si>
    <t xml:space="preserve">  → CompanyLink</t>
  </si>
  <si>
    <t xml:space="preserve">Link Drive/Website/IG level company</t>
  </si>
  <si>
    <t xml:space="preserve">Brand</t>
  </si>
  <si>
    <t xml:space="preserve">Brand produk. FK ke Company. Satu brand punya banyak SKU.</t>
  </si>
  <si>
    <t xml:space="preserve">  → BrandLink</t>
  </si>
  <si>
    <t xml:space="preserve">Link catalog/price-list per brand</t>
  </si>
  <si>
    <t xml:space="preserve">Sku (Material)</t>
  </si>
  <si>
    <t xml:space="preserve">Product catalog — satu SKU adalah satu item material. FK ke Brand.</t>
  </si>
  <si>
    <t xml:space="preserve">BQ SIDE</t>
  </si>
  <si>
    <t xml:space="preserve">MaterialPrice</t>
  </si>
  <si>
    <t xml:space="preserve">Harga material per brand/supplier. FK ke Brand + Sku (optional). Text only.</t>
  </si>
  <si>
    <t xml:space="preserve">ServiceVendor</t>
  </si>
  <si>
    <t xml:space="preserve">Tukang / penyedia jasa. Dipakai oleh ServicePrice &amp; MaterialLaborPrice.</t>
  </si>
  <si>
    <t xml:space="preserve">ServicePrice</t>
  </si>
  <si>
    <t xml:space="preserve">Harga upah (labour only). FK ke ServiceVendor (optional). Text only.</t>
  </si>
  <si>
    <t xml:space="preserve">MaterialLaborPrice</t>
  </si>
  <si>
    <t xml:space="preserve">Harga paket supply+install. FK ke ServiceVendor (optional). Text only.</t>
  </si>
  <si>
    <t xml:space="preserve">COMPANY  (master_data.Company)  — StudioFlow</t>
  </si>
  <si>
    <t xml:space="preserve">id (PK)</t>
  </si>
  <si>
    <t xml:space="preserve">name</t>
  </si>
  <si>
    <t xml:space="preserve">legal_name</t>
  </si>
  <si>
    <t xml:space="preserve">tier</t>
  </si>
  <si>
    <t xml:space="preserve">notes</t>
  </si>
  <si>
    <t xml:space="preserve">is_active</t>
  </si>
  <si>
    <t xml:space="preserve">created_at</t>
  </si>
  <si>
    <t xml:space="preserve">updated_at</t>
  </si>
  <si>
    <t xml:space="preserve">deleted_at</t>
  </si>
  <si>
    <t xml:space="preserve">→ Lihat tabel brand untuk brand per company</t>
  </si>
  <si>
    <t xml:space="preserve">comp-001</t>
  </si>
  <si>
    <t xml:space="preserve">BDA Group</t>
  </si>
  <si>
    <t xml:space="preserve">PT BDA Sejahtera</t>
  </si>
  <si>
    <t xml:space="preserve">PREMIUM</t>
  </si>
  <si>
    <t xml:space="preserve">2026-01-10</t>
  </si>
  <si>
    <t xml:space="preserve">2026-07-29</t>
  </si>
  <si>
    <t xml:space="preserve">comp-002</t>
  </si>
  <si>
    <t xml:space="preserve">Taco Indonesia</t>
  </si>
  <si>
    <t xml:space="preserve">PT Surya Toto Indonesia Tbk</t>
  </si>
  <si>
    <t xml:space="preserve">STANDARD</t>
  </si>
  <si>
    <t xml:space="preserve">comp-003</t>
  </si>
  <si>
    <t xml:space="preserve">Kawan Lama</t>
  </si>
  <si>
    <t xml:space="preserve">PT Kawan Lama Sejahtera</t>
  </si>
  <si>
    <t xml:space="preserve">Supplier umum material dasar</t>
  </si>
  <si>
    <t xml:space="preserve">COMPANY CONTACT  (master_data.CompanyContact)  — StudioFlow</t>
  </si>
  <si>
    <t xml:space="preserve">company_id (FK→Company)</t>
  </si>
  <si>
    <t xml:space="preserve">contact_name</t>
  </si>
  <si>
    <t xml:space="preserve">role</t>
  </si>
  <si>
    <t xml:space="preserve">phone_number</t>
  </si>
  <si>
    <t xml:space="preserve">email</t>
  </si>
  <si>
    <t xml:space="preserve">is_primary</t>
  </si>
  <si>
    <t xml:space="preserve">cc-001</t>
  </si>
  <si>
    <t xml:space="preserve">Budi Santoso</t>
  </si>
  <si>
    <t xml:space="preserve">Sales</t>
  </si>
  <si>
    <t xml:space="preserve">0812-1111-2222</t>
  </si>
  <si>
    <t xml:space="preserve">budi@bda.co.id</t>
  </si>
  <si>
    <t xml:space="preserve">cc-002</t>
  </si>
  <si>
    <t xml:space="preserve">Sari Dewi</t>
  </si>
  <si>
    <t xml:space="preserve">Customer Service</t>
  </si>
  <si>
    <t xml:space="preserve">0813-3333-4444</t>
  </si>
  <si>
    <t xml:space="preserve">sari@taco.co.id</t>
  </si>
  <si>
    <t xml:space="preserve">COMPANY LINK  (master_data.CompanyLink)  — StudioFlow</t>
  </si>
  <si>
    <t xml:space="preserve">kind</t>
  </si>
  <si>
    <t xml:space="preserve">url</t>
  </si>
  <si>
    <t xml:space="preserve">label</t>
  </si>
  <si>
    <t xml:space="preserve">cl-001</t>
  </si>
  <si>
    <t xml:space="preserve">DRIVE</t>
  </si>
  <si>
    <t xml:space="preserve">https://drive.google.com/...</t>
  </si>
  <si>
    <t xml:space="preserve">BDA Catalog 2026</t>
  </si>
  <si>
    <t xml:space="preserve">cl-002</t>
  </si>
  <si>
    <t xml:space="preserve">WEBSITE</t>
  </si>
  <si>
    <t xml:space="preserve">https://bda.co.id</t>
  </si>
  <si>
    <t xml:space="preserve">cl-003</t>
  </si>
  <si>
    <t xml:space="preserve">INSTAGRAM</t>
  </si>
  <si>
    <t xml:space="preserve">https://instagram.com/bda_id</t>
  </si>
  <si>
    <t xml:space="preserve">cl-004</t>
  </si>
  <si>
    <t xml:space="preserve">Taco Price 2026</t>
  </si>
  <si>
    <t xml:space="preserve">BRAND  (master_data.Brand / Vendor)  — StudioFlow  [relasi ke material catalog]</t>
  </si>
  <si>
    <t xml:space="preserve">brand_name</t>
  </si>
  <si>
    <t xml:space="preserve">address</t>
  </si>
  <si>
    <t xml:space="preserve">brd-001</t>
  </si>
  <si>
    <t xml:space="preserve">Valpra</t>
  </si>
  <si>
    <t xml:space="preserve">brd-002</t>
  </si>
  <si>
    <t xml:space="preserve">Cosmo</t>
  </si>
  <si>
    <t xml:space="preserve">brd-003</t>
  </si>
  <si>
    <t xml:space="preserve">Taco</t>
  </si>
  <si>
    <t xml:space="preserve">brd-004</t>
  </si>
  <si>
    <t xml:space="preserve">Supplier umum — bukan brand material spesifik</t>
  </si>
  <si>
    <t xml:space="preserve">SKU / MATERIAL  (master_data.Material)  — StudioFlow  [bisa menyimpan gambar &amp; link]</t>
  </si>
  <si>
    <t xml:space="preserve">brand_id (FK→Brand)</t>
  </si>
  <si>
    <t xml:space="preserve">catalog_sku</t>
  </si>
  <si>
    <t xml:space="preserve">catalog_product_name</t>
  </si>
  <si>
    <t xml:space="preserve">catalog_brand (denorm)</t>
  </si>
  <si>
    <t xml:space="preserve">catalog_type</t>
  </si>
  <si>
    <t xml:space="preserve">catalog_category_tags (array)</t>
  </si>
  <si>
    <t xml:space="preserve">catalog_color</t>
  </si>
  <si>
    <t xml:space="preserve">catalog_finish</t>
  </si>
  <si>
    <t xml:space="preserve">catalog_dimension</t>
  </si>
  <si>
    <t xml:space="preserve">reference_url [SF: link]</t>
  </si>
  <si>
    <t xml:space="preserve">folder_url [SF: link]</t>
  </si>
  <si>
    <t xml:space="preserve">sku-001</t>
  </si>
  <si>
    <t xml:space="preserve">TCO-HPL-MCR-1.2</t>
  </si>
  <si>
    <t xml:space="preserve">HPL Marble Carrara 1.2mm</t>
  </si>
  <si>
    <t xml:space="preserve">material</t>
  </si>
  <si>
    <t xml:space="preserve">HPL, Wall Cladding</t>
  </si>
  <si>
    <t xml:space="preserve">White/Grey</t>
  </si>
  <si>
    <t xml:space="preserve">Glossy</t>
  </si>
  <si>
    <t xml:space="preserve">1220 x 2440 mm</t>
  </si>
  <si>
    <t xml:space="preserve">https://taco.co.id/marble-carrara</t>
  </si>
  <si>
    <t xml:space="preserve">sku-002</t>
  </si>
  <si>
    <t xml:space="preserve">VLP-SNK-BRG-01</t>
  </si>
  <si>
    <t xml:space="preserve">Brigete Shower Sink</t>
  </si>
  <si>
    <t xml:space="preserve">fixture</t>
  </si>
  <si>
    <t xml:space="preserve">Sink, Bathroom</t>
  </si>
  <si>
    <t xml:space="preserve">Chrome</t>
  </si>
  <si>
    <t xml:space="preserve">https://valpra.co.id/brigete</t>
  </si>
  <si>
    <t xml:space="preserve">sku-003</t>
  </si>
  <si>
    <t xml:space="preserve">PLY-BRC-BND-12</t>
  </si>
  <si>
    <t xml:space="preserve">Plywood Birch Bending 12mm</t>
  </si>
  <si>
    <t xml:space="preserve">Plywood, Material Dasar</t>
  </si>
  <si>
    <t xml:space="preserve">⚑  Catatan: reference_url dan folder_url HANYA tersedia di sisi StudioFlow. Tabel BQ (MaterialPrice, dll.) tidak menyimpan media — text/number only.</t>
  </si>
  <si>
    <t xml:space="preserve">MATERIAL PRICE  (master_data.MaterialPrice)  — BQ  [text/number only, no media]</t>
  </si>
  <si>
    <t xml:space="preserve">sku_id (FK→Sku, optional)</t>
  </si>
  <si>
    <t xml:space="preserve">item_description</t>
  </si>
  <si>
    <t xml:space="preserve">category</t>
  </si>
  <si>
    <t xml:space="preserve">unit</t>
  </si>
  <si>
    <t xml:space="preserve">price_before_discount</t>
  </si>
  <si>
    <t xml:space="preserve">price_after_discount</t>
  </si>
  <si>
    <t xml:space="preserve">specifications (JSON)</t>
  </si>
  <si>
    <t xml:space="preserve">valid_from</t>
  </si>
  <si>
    <t xml:space="preserve">source_link_id (FK→BrandLink)</t>
  </si>
  <si>
    <t xml:space="preserve">updated_by_name</t>
  </si>
  <si>
    <t xml:space="preserve">mp-001</t>
  </si>
  <si>
    <t xml:space="preserve">Material Dasar</t>
  </si>
  <si>
    <t xml:space="preserve">lembar</t>
  </si>
  <si>
    <t xml:space="preserve">{"spec_1":"Birch","spec_2":"Bending","dimension":"1220 x 2440"}</t>
  </si>
  <si>
    <t xml:space="preserve">Andi</t>
  </si>
  <si>
    <t xml:space="preserve">mp-002</t>
  </si>
  <si>
    <t xml:space="preserve">HPL Taco Marble Carrara 1.2mm</t>
  </si>
  <si>
    <t xml:space="preserve">HPL</t>
  </si>
  <si>
    <t xml:space="preserve">{"spec_1":null,"spec_2":null,"dimension":"1220 x 2440"}</t>
  </si>
  <si>
    <t xml:space="preserve">Sari</t>
  </si>
  <si>
    <t xml:space="preserve">mp-003</t>
  </si>
  <si>
    <t xml:space="preserve">Keramik Valpra Cosmo 60x60 Polish</t>
  </si>
  <si>
    <t xml:space="preserve">Keramik</t>
  </si>
  <si>
    <t xml:space="preserve">m2</t>
  </si>
  <si>
    <t xml:space="preserve">{"spec_1":"60x60","spec_2":"Polish","dimension":null}</t>
  </si>
  <si>
    <t xml:space="preserve">2026-07-01</t>
  </si>
  <si>
    <t xml:space="preserve">Budi</t>
  </si>
  <si>
    <t xml:space="preserve">⚑  sku_id nullable — material tanpa SKU di catalog (e.g. Plywood Birch dari Kawan Lama sebagai supplier umum) tetap bisa masuk harga. category wajib diisi untuk filter BQ. specifications menyimpan spec_1, spec_2, dimension sebagai JSON agar extensible tanpa migration.</t>
  </si>
  <si>
    <t xml:space="preserve">SERVICE VENDOR  (master_data.ServiceVendor)  — BQ</t>
  </si>
  <si>
    <t xml:space="preserve">trade</t>
  </si>
  <si>
    <t xml:space="preserve">sv-001</t>
  </si>
  <si>
    <t xml:space="preserve">Rahmat Elektrik</t>
  </si>
  <si>
    <t xml:space="preserve">MEP — Electrical</t>
  </si>
  <si>
    <t xml:space="preserve">0812-5555-6666</t>
  </si>
  <si>
    <t xml:space="preserve">sv-002</t>
  </si>
  <si>
    <t xml:space="preserve">Tukang Sipil Pak Budi</t>
  </si>
  <si>
    <t xml:space="preserve">Sipil — Lantai</t>
  </si>
  <si>
    <t xml:space="preserve">0813-7777-8888</t>
  </si>
  <si>
    <t xml:space="preserve">sv-003</t>
  </si>
  <si>
    <t xml:space="preserve">Andi Furniture</t>
  </si>
  <si>
    <t xml:space="preserve">Furniture Custom</t>
  </si>
  <si>
    <t xml:space="preserve">0812-9999-0000</t>
  </si>
  <si>
    <t xml:space="preserve">SERVICE PRICE — Harga Upah  (master_data.ServicePrice)  — BQ  [text/number only]</t>
  </si>
  <si>
    <t xml:space="preserve">code</t>
  </si>
  <si>
    <t xml:space="preserve">vendor_category</t>
  </si>
  <si>
    <t xml:space="preserve">price</t>
  </si>
  <si>
    <t xml:space="preserve">scope_note</t>
  </si>
  <si>
    <t xml:space="preserve">service_vendor_id (FK→SV)</t>
  </si>
  <si>
    <t xml:space="preserve">sp-001</t>
  </si>
  <si>
    <t xml:space="preserve">MEP-LGT-KBL</t>
  </si>
  <si>
    <t xml:space="preserve">MEP</t>
  </si>
  <si>
    <t xml:space="preserve">Lighting</t>
  </si>
  <si>
    <t xml:space="preserve">Penarikan Kabel CAT 6</t>
  </si>
  <si>
    <t xml:space="preserve">titik</t>
  </si>
  <si>
    <t xml:space="preserve">{"spec_1":"CAT 6","spec_2":null,"dimension":null}</t>
  </si>
  <si>
    <t xml:space="preserve">Termasuk klem &amp; conduit. Tidak termasuk material panel.</t>
  </si>
  <si>
    <t xml:space="preserve">sp-002</t>
  </si>
  <si>
    <t xml:space="preserve">SPL-FLR-SCR</t>
  </si>
  <si>
    <t xml:space="preserve">Sipil</t>
  </si>
  <si>
    <t xml:space="preserve">Floor Works</t>
  </si>
  <si>
    <t xml:space="preserve">Screeding Base</t>
  </si>
  <si>
    <t xml:space="preserve">{"spec_1":"H 20-50mm","spec_2":null,"dimension":"-"}</t>
  </si>
  <si>
    <t xml:space="preserve">Material screeding tidak termasuk.</t>
  </si>
  <si>
    <t xml:space="preserve">sp-003</t>
  </si>
  <si>
    <t xml:space="preserve">FRN-FRN-MJA</t>
  </si>
  <si>
    <t xml:space="preserve">Furniture</t>
  </si>
  <si>
    <t xml:space="preserve">Custom Meja 10x10</t>
  </si>
  <si>
    <t xml:space="preserve">{"spec_1":null,"spec_2":null,"dimension":"10x10"}</t>
  </si>
  <si>
    <t xml:space="preserve">sp-004</t>
  </si>
  <si>
    <t xml:space="preserve">INT-INT-CAT</t>
  </si>
  <si>
    <t xml:space="preserve">Interior</t>
  </si>
  <si>
    <t xml:space="preserve">Cat Interior Dulux</t>
  </si>
  <si>
    <t xml:space="preserve">{"spec_1":"2 lapis","spec_2":null,"dimension":null}</t>
  </si>
  <si>
    <t xml:space="preserve">Termasuk plamir, tidak termasuk material cat.</t>
  </si>
  <si>
    <t xml:space="preserve">⚑  vendor_category = parent section BQ (MEP, Sipil, Furniture). category = sub-section (Lighting, Floor Works). service_vendor_id nullable — harga internal studio tidak perlu vendor.</t>
  </si>
  <si>
    <t xml:space="preserve">MATERIAL LABOR PRICE — Paket Supply+Install  (master_data.MaterialLaborPrice)  — BQ  [text/number only]</t>
  </si>
  <si>
    <t xml:space="preserve">material_price</t>
  </si>
  <si>
    <t xml:space="preserve">labor_price</t>
  </si>
  <si>
    <t xml:space="preserve">total_price (derived)</t>
  </si>
  <si>
    <t xml:space="preserve">mlp-001</t>
  </si>
  <si>
    <t xml:space="preserve">SPL-KRM-6060-MU</t>
  </si>
  <si>
    <t xml:space="preserve">Pasang Keramik 60x60 Polish (supply+install)</t>
  </si>
  <si>
    <t xml:space="preserve">Termasuk material keramik Valpra Cosmo. Grouting termasuk.</t>
  </si>
  <si>
    <t xml:space="preserve">mlp-002</t>
  </si>
  <si>
    <t xml:space="preserve">INT-HPL-MU</t>
  </si>
  <si>
    <t xml:space="preserve">Dinding</t>
  </si>
  <si>
    <t xml:space="preserve">Supply+Install HPL Taco (panel dinding)</t>
  </si>
  <si>
    <t xml:space="preserve">{"spec_1":"1.2mm","spec_2":"Marble Carrara","dimension":"1220x2440"}</t>
  </si>
  <si>
    <t xml:space="preserve">HPL Taco, lem Aica, profil aluminium termasuk.</t>
  </si>
  <si>
    <t xml:space="preserve">⚑  total_price = material_price + labor_price — dihitung otomatis saat save, disimpan untuk efisiensi BQ query. service_vendor_id nullable — vendor bisa berbeda per proyek, kolom ini opsional.</t>
  </si>
  <si>
    <t xml:space="preserve">ENTITY RELATIONSHIP SUMMARY</t>
  </si>
  <si>
    <t xml:space="preserve">1 → N</t>
  </si>
  <si>
    <t xml:space="preserve">Brand  (brand.company_id)</t>
  </si>
  <si>
    <t xml:space="preserve">CompanyContact  (contact.company_id)</t>
  </si>
  <si>
    <t xml:space="preserve">CompanyLink  (link.company_id)</t>
  </si>
  <si>
    <t xml:space="preserve">Sku/Material  (sku.brand_id)</t>
  </si>
  <si>
    <t xml:space="preserve">BrandLink  (brandlink.brand_id)</t>
  </si>
  <si>
    <t xml:space="preserve">MaterialPrice  (mp.brand_id) ← jembatan ke BQ</t>
  </si>
  <si>
    <t xml:space="preserve">N → 1</t>
  </si>
  <si>
    <t xml:space="preserve">Brand  (mp.brand_id) — wajib</t>
  </si>
  <si>
    <t xml:space="preserve">Sku  (mp.sku_id) — optional</t>
  </si>
  <si>
    <t xml:space="preserve">BrandLink  (mp.source_link_id) — opsional, sumber harga</t>
  </si>
  <si>
    <t xml:space="preserve">ServicePrice  (sp.service_vendor_id)</t>
  </si>
  <si>
    <t xml:space="preserve">MaterialLaborPrice  (mlp.service_vendor_id)</t>
  </si>
  <si>
    <t xml:space="preserve">KEY PRINCIPLE</t>
  </si>
  <si>
    <t xml:space="preserve">StudioFlow tables</t>
  </si>
  <si>
    <t xml:space="preserve">→</t>
  </si>
  <si>
    <t xml:space="preserve">Boleh menyimpan media URL, gambar, link. Untuk desainer.</t>
  </si>
  <si>
    <t xml:space="preserve">BQ tables</t>
  </si>
  <si>
    <t xml:space="preserve">Text &amp; number ONLY. No media. Dioptimalkan untuk kalkulasi cepat.</t>
  </si>
  <si>
    <t xml:space="preserve">{"spec_1":"...", "spec_2":"...", "dimension":"..."} — extensible tanpa migration</t>
  </si>
  <si>
    <t xml:space="preserve">Parent BQ section header (MEP, Sipil, Interior, Furniture)</t>
  </si>
  <si>
    <t xml:space="preserve">Sub-section BQ (Lighting, Floor Works, Dinding)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</si>
</sst>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3C5E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B3A2A"/>
      <name val="Arial"/>
      <family val="0"/>
      <charset val="1"/>
    </font>
    <font>
      <i val="true"/>
      <sz val="8"/>
      <color rgb="FF2D6A4F"/>
      <name val="Arial"/>
      <family val="0"/>
      <charset val="1"/>
    </font>
    <font>
      <b val="true"/>
      <sz val="12"/>
      <color rgb="FF1A3C5E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EEEEE"/>
        <bgColor rgb="FFE8F5E9"/>
      </patternFill>
    </fill>
    <fill>
      <patternFill patternType="solid">
        <fgColor rgb="FF1A3C5E"/>
        <bgColor rgb="FF333333"/>
      </patternFill>
    </fill>
    <fill>
      <patternFill patternType="solid">
        <fgColor rgb="FFFFFFFF"/>
        <bgColor rgb="FFF7F9FC"/>
      </patternFill>
    </fill>
    <fill>
      <patternFill patternType="solid">
        <fgColor rgb="FF2D6A4F"/>
        <bgColor rgb="FF555555"/>
      </patternFill>
    </fill>
    <fill>
      <patternFill patternType="solid">
        <fgColor rgb="FF6B3A2A"/>
        <bgColor rgb="FF555555"/>
      </patternFill>
    </fill>
    <fill>
      <patternFill patternType="solid">
        <fgColor rgb="FFFFF3CD"/>
        <bgColor rgb="FFEEEEEE"/>
      </patternFill>
    </fill>
    <fill>
      <patternFill patternType="solid">
        <fgColor rgb="FFE8F5E9"/>
        <bgColor rgb="FFEEEEEE"/>
      </patternFill>
    </fill>
    <fill>
      <patternFill patternType="solid">
        <fgColor rgb="FFD6E4F0"/>
        <bgColor rgb="FFD8F3DC"/>
      </patternFill>
    </fill>
    <fill>
      <patternFill patternType="solid">
        <fgColor rgb="FFD8F3DC"/>
        <bgColor rgb="FFE8F5E9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D8F3DC"/>
      <rgbColor rgb="FFF7F9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C5E"/>
      <rgbColor rgb="FF339966"/>
      <rgbColor rgb="FF003300"/>
      <rgbColor rgb="FF333300"/>
      <rgbColor rgb="FF6B3A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21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6" t="s">
        <v>6</v>
      </c>
      <c r="B6" s="5" t="s">
        <v>7</v>
      </c>
    </row>
    <row r="7" customFormat="false" ht="15" hidden="false" customHeight="false" outlineLevel="0" collapsed="false">
      <c r="A7" s="7" t="s">
        <v>8</v>
      </c>
      <c r="B7" s="5" t="s">
        <v>9</v>
      </c>
    </row>
    <row r="8" customFormat="false" ht="15" hidden="false" customHeight="false" outlineLevel="0" collapsed="false">
      <c r="A8" s="8" t="s">
        <v>10</v>
      </c>
      <c r="B8" s="5" t="s">
        <v>11</v>
      </c>
    </row>
    <row r="9" customFormat="false" ht="15" hidden="false" customHeight="false" outlineLevel="0" collapsed="false">
      <c r="A9" s="9" t="s">
        <v>12</v>
      </c>
      <c r="B9" s="5" t="s">
        <v>13</v>
      </c>
    </row>
    <row r="11" customFormat="false" ht="15" hidden="false" customHeight="false" outlineLevel="0" collapsed="false">
      <c r="A11" s="10" t="s">
        <v>14</v>
      </c>
      <c r="B11" s="10"/>
    </row>
    <row r="12" customFormat="false" ht="15" hidden="false" customHeight="false" outlineLevel="0" collapsed="false">
      <c r="A12" s="11" t="s">
        <v>15</v>
      </c>
      <c r="B12" s="12"/>
    </row>
    <row r="13" customFormat="false" ht="15" hidden="false" customHeight="false" outlineLevel="0" collapsed="false">
      <c r="A13" s="13" t="s">
        <v>16</v>
      </c>
      <c r="B13" s="12" t="s">
        <v>17</v>
      </c>
    </row>
    <row r="14" customFormat="false" ht="15" hidden="false" customHeight="false" outlineLevel="0" collapsed="false">
      <c r="A14" s="11" t="s">
        <v>18</v>
      </c>
      <c r="B14" s="12" t="s">
        <v>19</v>
      </c>
    </row>
    <row r="15" customFormat="false" ht="15" hidden="false" customHeight="false" outlineLevel="0" collapsed="false">
      <c r="A15" s="11" t="s">
        <v>20</v>
      </c>
      <c r="B15" s="12" t="s">
        <v>21</v>
      </c>
    </row>
    <row r="16" customFormat="false" ht="15" hidden="false" customHeight="false" outlineLevel="0" collapsed="false">
      <c r="A16" s="13" t="s">
        <v>22</v>
      </c>
      <c r="B16" s="12" t="s">
        <v>23</v>
      </c>
    </row>
    <row r="17" customFormat="false" ht="15" hidden="false" customHeight="false" outlineLevel="0" collapsed="false">
      <c r="A17" s="11" t="s">
        <v>24</v>
      </c>
      <c r="B17" s="12" t="s">
        <v>25</v>
      </c>
    </row>
    <row r="18" customFormat="false" ht="15" hidden="false" customHeight="false" outlineLevel="0" collapsed="false">
      <c r="A18" s="13" t="s">
        <v>26</v>
      </c>
      <c r="B18" s="12" t="s">
        <v>27</v>
      </c>
    </row>
    <row r="19" customFormat="false" ht="15" hidden="false" customHeight="false" outlineLevel="0" collapsed="false">
      <c r="A19" s="14"/>
      <c r="B19" s="5"/>
    </row>
    <row r="20" customFormat="false" ht="15" hidden="false" customHeight="false" outlineLevel="0" collapsed="false">
      <c r="A20" s="15" t="s">
        <v>28</v>
      </c>
      <c r="B20" s="16"/>
    </row>
    <row r="21" customFormat="false" ht="15" hidden="false" customHeight="false" outlineLevel="0" collapsed="false">
      <c r="A21" s="17" t="s">
        <v>29</v>
      </c>
      <c r="B21" s="16" t="s">
        <v>30</v>
      </c>
    </row>
    <row r="22" customFormat="false" ht="15" hidden="false" customHeight="false" outlineLevel="0" collapsed="false">
      <c r="A22" s="17" t="s">
        <v>31</v>
      </c>
      <c r="B22" s="16" t="s">
        <v>32</v>
      </c>
    </row>
    <row r="23" customFormat="false" ht="15" hidden="false" customHeight="false" outlineLevel="0" collapsed="false">
      <c r="A23" s="17" t="s">
        <v>33</v>
      </c>
      <c r="B23" s="16" t="s">
        <v>34</v>
      </c>
    </row>
    <row r="24" customFormat="false" ht="15" hidden="false" customHeight="false" outlineLevel="0" collapsed="false">
      <c r="A24" s="17" t="s">
        <v>35</v>
      </c>
      <c r="B24" s="16" t="s">
        <v>36</v>
      </c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10" min="8" style="0" width="14"/>
  </cols>
  <sheetData>
    <row r="1" customFormat="false" ht="15" hidden="false" customHeight="false" outlineLevel="0" collapsed="false">
      <c r="A1" s="18" t="s">
        <v>37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43.25" hidden="false" customHeight="false" outlineLevel="0" collapsed="false">
      <c r="A2" s="19" t="s">
        <v>38</v>
      </c>
      <c r="B2" s="19" t="s">
        <v>39</v>
      </c>
      <c r="C2" s="19" t="s">
        <v>40</v>
      </c>
      <c r="D2" s="19" t="s">
        <v>41</v>
      </c>
      <c r="E2" s="19" t="s">
        <v>42</v>
      </c>
      <c r="F2" s="19" t="s">
        <v>43</v>
      </c>
      <c r="G2" s="19" t="s">
        <v>44</v>
      </c>
      <c r="H2" s="19" t="s">
        <v>45</v>
      </c>
      <c r="I2" s="19" t="s">
        <v>46</v>
      </c>
      <c r="J2" s="19" t="s">
        <v>47</v>
      </c>
    </row>
    <row r="3" customFormat="false" ht="15" hidden="false" customHeight="false" outlineLevel="0" collapsed="false">
      <c r="A3" s="20" t="s">
        <v>48</v>
      </c>
      <c r="B3" s="5" t="s">
        <v>49</v>
      </c>
      <c r="C3" s="5" t="s">
        <v>50</v>
      </c>
      <c r="D3" s="5" t="s">
        <v>51</v>
      </c>
      <c r="E3" s="5"/>
      <c r="F3" s="21" t="b">
        <f aca="false">TRUE()</f>
        <v>1</v>
      </c>
      <c r="G3" s="5" t="s">
        <v>52</v>
      </c>
      <c r="H3" s="5" t="s">
        <v>53</v>
      </c>
      <c r="I3" s="5"/>
      <c r="J3" s="5"/>
    </row>
    <row r="4" customFormat="false" ht="15" hidden="false" customHeight="false" outlineLevel="0" collapsed="false">
      <c r="A4" s="20" t="s">
        <v>54</v>
      </c>
      <c r="B4" s="22" t="s">
        <v>55</v>
      </c>
      <c r="C4" s="22" t="s">
        <v>56</v>
      </c>
      <c r="D4" s="22" t="s">
        <v>57</v>
      </c>
      <c r="E4" s="22"/>
      <c r="F4" s="23" t="b">
        <f aca="false">TRUE()</f>
        <v>1</v>
      </c>
      <c r="G4" s="22" t="s">
        <v>52</v>
      </c>
      <c r="H4" s="22" t="s">
        <v>53</v>
      </c>
      <c r="I4" s="22"/>
      <c r="J4" s="22"/>
    </row>
    <row r="5" customFormat="false" ht="22.35" hidden="false" customHeight="false" outlineLevel="0" collapsed="false">
      <c r="A5" s="20" t="s">
        <v>58</v>
      </c>
      <c r="B5" s="5" t="s">
        <v>59</v>
      </c>
      <c r="C5" s="5" t="s">
        <v>60</v>
      </c>
      <c r="D5" s="5" t="s">
        <v>57</v>
      </c>
      <c r="E5" s="5" t="s">
        <v>61</v>
      </c>
      <c r="F5" s="21" t="b">
        <f aca="false">TRUE()</f>
        <v>1</v>
      </c>
      <c r="G5" s="5" t="s">
        <v>52</v>
      </c>
      <c r="H5" s="5" t="s">
        <v>53</v>
      </c>
      <c r="I5" s="5"/>
      <c r="J5" s="5"/>
    </row>
    <row r="7" customFormat="false" ht="15" hidden="false" customHeight="false" outlineLevel="0" collapsed="false">
      <c r="A7" s="24" t="s">
        <v>62</v>
      </c>
      <c r="B7" s="24"/>
      <c r="C7" s="24"/>
      <c r="D7" s="24"/>
      <c r="E7" s="24"/>
      <c r="F7" s="24"/>
      <c r="G7" s="24"/>
      <c r="H7" s="24"/>
    </row>
    <row r="8" customFormat="false" ht="22.35" hidden="false" customHeight="false" outlineLevel="0" collapsed="false">
      <c r="A8" s="25" t="s">
        <v>38</v>
      </c>
      <c r="B8" s="25" t="s">
        <v>63</v>
      </c>
      <c r="C8" s="25" t="s">
        <v>64</v>
      </c>
      <c r="D8" s="25" t="s">
        <v>65</v>
      </c>
      <c r="E8" s="25" t="s">
        <v>66</v>
      </c>
      <c r="F8" s="25" t="s">
        <v>67</v>
      </c>
      <c r="G8" s="25" t="s">
        <v>68</v>
      </c>
      <c r="H8" s="25" t="s">
        <v>42</v>
      </c>
    </row>
    <row r="9" customFormat="false" ht="15" hidden="false" customHeight="false" outlineLevel="0" collapsed="false">
      <c r="A9" s="5" t="s">
        <v>69</v>
      </c>
      <c r="B9" s="20" t="s">
        <v>48</v>
      </c>
      <c r="C9" s="5" t="s">
        <v>70</v>
      </c>
      <c r="D9" s="5" t="s">
        <v>71</v>
      </c>
      <c r="E9" s="5" t="s">
        <v>72</v>
      </c>
      <c r="F9" s="5" t="s">
        <v>73</v>
      </c>
      <c r="G9" s="21" t="b">
        <f aca="false">TRUE()</f>
        <v>1</v>
      </c>
      <c r="H9" s="5"/>
    </row>
    <row r="10" customFormat="false" ht="15" hidden="false" customHeight="false" outlineLevel="0" collapsed="false">
      <c r="A10" s="22" t="s">
        <v>74</v>
      </c>
      <c r="B10" s="20" t="s">
        <v>54</v>
      </c>
      <c r="C10" s="22" t="s">
        <v>75</v>
      </c>
      <c r="D10" s="22" t="s">
        <v>76</v>
      </c>
      <c r="E10" s="22" t="s">
        <v>77</v>
      </c>
      <c r="F10" s="22" t="s">
        <v>78</v>
      </c>
      <c r="G10" s="23" t="b">
        <f aca="false">TRUE()</f>
        <v>1</v>
      </c>
      <c r="H10" s="22"/>
    </row>
    <row r="13" customFormat="false" ht="15" hidden="false" customHeight="false" outlineLevel="0" collapsed="false">
      <c r="A13" s="24" t="s">
        <v>79</v>
      </c>
      <c r="B13" s="24"/>
      <c r="C13" s="24"/>
      <c r="D13" s="24"/>
      <c r="E13" s="24"/>
      <c r="F13" s="24"/>
    </row>
    <row r="14" customFormat="false" ht="22.35" hidden="false" customHeight="false" outlineLevel="0" collapsed="false">
      <c r="A14" s="25" t="s">
        <v>38</v>
      </c>
      <c r="B14" s="25" t="s">
        <v>63</v>
      </c>
      <c r="C14" s="25" t="s">
        <v>80</v>
      </c>
      <c r="D14" s="25" t="s">
        <v>81</v>
      </c>
      <c r="E14" s="25" t="s">
        <v>82</v>
      </c>
      <c r="F14" s="25" t="s">
        <v>42</v>
      </c>
    </row>
    <row r="15" customFormat="false" ht="15" hidden="false" customHeight="false" outlineLevel="0" collapsed="false">
      <c r="A15" s="5" t="s">
        <v>83</v>
      </c>
      <c r="B15" s="20" t="s">
        <v>48</v>
      </c>
      <c r="C15" s="5" t="s">
        <v>84</v>
      </c>
      <c r="D15" s="5" t="s">
        <v>85</v>
      </c>
      <c r="E15" s="5" t="s">
        <v>86</v>
      </c>
      <c r="F15" s="5"/>
    </row>
    <row r="16" customFormat="false" ht="15" hidden="false" customHeight="false" outlineLevel="0" collapsed="false">
      <c r="A16" s="22" t="s">
        <v>87</v>
      </c>
      <c r="B16" s="20" t="s">
        <v>48</v>
      </c>
      <c r="C16" s="22" t="s">
        <v>88</v>
      </c>
      <c r="D16" s="22" t="s">
        <v>89</v>
      </c>
      <c r="E16" s="22"/>
      <c r="F16" s="22"/>
    </row>
    <row r="17" customFormat="false" ht="15" hidden="false" customHeight="false" outlineLevel="0" collapsed="false">
      <c r="A17" s="5" t="s">
        <v>90</v>
      </c>
      <c r="B17" s="20" t="s">
        <v>48</v>
      </c>
      <c r="C17" s="5" t="s">
        <v>91</v>
      </c>
      <c r="D17" s="5" t="s">
        <v>92</v>
      </c>
      <c r="E17" s="5"/>
      <c r="F17" s="5"/>
    </row>
    <row r="18" customFormat="false" ht="15" hidden="false" customHeight="false" outlineLevel="0" collapsed="false">
      <c r="A18" s="22" t="s">
        <v>93</v>
      </c>
      <c r="B18" s="20" t="s">
        <v>54</v>
      </c>
      <c r="C18" s="22" t="s">
        <v>84</v>
      </c>
      <c r="D18" s="22" t="s">
        <v>85</v>
      </c>
      <c r="E18" s="22" t="s">
        <v>94</v>
      </c>
      <c r="F18" s="22"/>
    </row>
    <row r="21" customFormat="false" ht="15" hidden="false" customHeight="false" outlineLevel="0" collapsed="false">
      <c r="A21" s="18" t="s">
        <v>95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15" hidden="false" customHeight="false" outlineLevel="0" collapsed="false">
      <c r="A22" s="19" t="s">
        <v>38</v>
      </c>
      <c r="B22" s="19" t="s">
        <v>96</v>
      </c>
      <c r="C22" s="19" t="s">
        <v>63</v>
      </c>
      <c r="D22" s="19" t="s">
        <v>40</v>
      </c>
      <c r="E22" s="19" t="s">
        <v>97</v>
      </c>
      <c r="F22" s="19" t="s">
        <v>42</v>
      </c>
      <c r="G22" s="19" t="s">
        <v>43</v>
      </c>
      <c r="H22" s="19" t="s">
        <v>44</v>
      </c>
      <c r="I22" s="19" t="s">
        <v>45</v>
      </c>
      <c r="J22" s="19" t="s">
        <v>46</v>
      </c>
    </row>
    <row r="23" customFormat="false" ht="15" hidden="false" customHeight="false" outlineLevel="0" collapsed="false">
      <c r="A23" s="20" t="s">
        <v>98</v>
      </c>
      <c r="B23" s="5" t="s">
        <v>99</v>
      </c>
      <c r="C23" s="20" t="s">
        <v>48</v>
      </c>
      <c r="D23" s="5" t="s">
        <v>50</v>
      </c>
      <c r="E23" s="5"/>
      <c r="F23" s="5"/>
      <c r="G23" s="21" t="b">
        <f aca="false">TRUE()</f>
        <v>1</v>
      </c>
      <c r="H23" s="5" t="s">
        <v>52</v>
      </c>
      <c r="I23" s="5"/>
      <c r="J23" s="5"/>
    </row>
    <row r="24" customFormat="false" ht="15" hidden="false" customHeight="false" outlineLevel="0" collapsed="false">
      <c r="A24" s="20" t="s">
        <v>100</v>
      </c>
      <c r="B24" s="22" t="s">
        <v>101</v>
      </c>
      <c r="C24" s="20" t="s">
        <v>48</v>
      </c>
      <c r="D24" s="22" t="s">
        <v>50</v>
      </c>
      <c r="E24" s="22"/>
      <c r="F24" s="22"/>
      <c r="G24" s="23" t="b">
        <f aca="false">TRUE()</f>
        <v>1</v>
      </c>
      <c r="H24" s="22" t="s">
        <v>52</v>
      </c>
      <c r="I24" s="22"/>
      <c r="J24" s="22"/>
    </row>
    <row r="25" customFormat="false" ht="15" hidden="false" customHeight="false" outlineLevel="0" collapsed="false">
      <c r="A25" s="20" t="s">
        <v>102</v>
      </c>
      <c r="B25" s="5" t="s">
        <v>103</v>
      </c>
      <c r="C25" s="20" t="s">
        <v>54</v>
      </c>
      <c r="D25" s="5" t="s">
        <v>56</v>
      </c>
      <c r="E25" s="5"/>
      <c r="F25" s="5"/>
      <c r="G25" s="21" t="b">
        <f aca="false">TRUE()</f>
        <v>1</v>
      </c>
      <c r="H25" s="5" t="s">
        <v>52</v>
      </c>
      <c r="I25" s="5"/>
      <c r="J25" s="5"/>
    </row>
    <row r="26" customFormat="false" ht="22.35" hidden="false" customHeight="false" outlineLevel="0" collapsed="false">
      <c r="A26" s="20" t="s">
        <v>104</v>
      </c>
      <c r="B26" s="22" t="s">
        <v>59</v>
      </c>
      <c r="C26" s="20" t="s">
        <v>58</v>
      </c>
      <c r="D26" s="22" t="s">
        <v>60</v>
      </c>
      <c r="E26" s="22"/>
      <c r="F26" s="22" t="s">
        <v>105</v>
      </c>
      <c r="G26" s="23" t="b">
        <f aca="false">TRUE()</f>
        <v>1</v>
      </c>
      <c r="H26" s="22" t="s">
        <v>52</v>
      </c>
      <c r="I26" s="22"/>
      <c r="J26" s="22"/>
    </row>
  </sheetData>
  <mergeCells count="4">
    <mergeCell ref="A1:J1"/>
    <mergeCell ref="A7:H7"/>
    <mergeCell ref="A13:F13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36"/>
    <col collapsed="false" customWidth="true" hidden="false" outlineLevel="0" max="12" min="12" style="0" width="30"/>
    <col collapsed="false" customWidth="true" hidden="false" outlineLevel="0" max="13" min="13" style="0" width="10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8" t="s">
        <v>106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22.35" hidden="false" customHeight="false" outlineLevel="0" collapsed="false">
      <c r="A2" s="19" t="s">
        <v>38</v>
      </c>
      <c r="B2" s="19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9" t="s">
        <v>113</v>
      </c>
      <c r="I2" s="19" t="s">
        <v>114</v>
      </c>
      <c r="J2" s="19" t="s">
        <v>115</v>
      </c>
      <c r="K2" s="19" t="s">
        <v>116</v>
      </c>
      <c r="L2" s="19" t="s">
        <v>117</v>
      </c>
      <c r="M2" s="19" t="s">
        <v>43</v>
      </c>
      <c r="N2" s="19" t="s">
        <v>46</v>
      </c>
    </row>
    <row r="3" customFormat="false" ht="15" hidden="false" customHeight="false" outlineLevel="0" collapsed="false">
      <c r="A3" s="5" t="s">
        <v>118</v>
      </c>
      <c r="B3" s="20" t="s">
        <v>102</v>
      </c>
      <c r="C3" s="5" t="s">
        <v>119</v>
      </c>
      <c r="D3" s="5" t="s">
        <v>120</v>
      </c>
      <c r="E3" s="5" t="s">
        <v>103</v>
      </c>
      <c r="F3" s="5" t="s">
        <v>121</v>
      </c>
      <c r="G3" s="5" t="s">
        <v>122</v>
      </c>
      <c r="H3" s="5" t="s">
        <v>123</v>
      </c>
      <c r="I3" s="5" t="s">
        <v>124</v>
      </c>
      <c r="J3" s="5" t="s">
        <v>125</v>
      </c>
      <c r="K3" s="5" t="s">
        <v>126</v>
      </c>
      <c r="L3" s="5" t="s">
        <v>85</v>
      </c>
      <c r="M3" s="21" t="b">
        <f aca="false">TRUE()</f>
        <v>1</v>
      </c>
      <c r="N3" s="5"/>
    </row>
    <row r="4" customFormat="false" ht="15" hidden="false" customHeight="false" outlineLevel="0" collapsed="false">
      <c r="A4" s="22" t="s">
        <v>127</v>
      </c>
      <c r="B4" s="20" t="s">
        <v>98</v>
      </c>
      <c r="C4" s="22" t="s">
        <v>128</v>
      </c>
      <c r="D4" s="22" t="s">
        <v>129</v>
      </c>
      <c r="E4" s="22" t="s">
        <v>99</v>
      </c>
      <c r="F4" s="22" t="s">
        <v>130</v>
      </c>
      <c r="G4" s="22" t="s">
        <v>131</v>
      </c>
      <c r="H4" s="22" t="s">
        <v>132</v>
      </c>
      <c r="I4" s="22"/>
      <c r="J4" s="22"/>
      <c r="K4" s="22" t="s">
        <v>133</v>
      </c>
      <c r="L4" s="22" t="s">
        <v>85</v>
      </c>
      <c r="M4" s="23" t="b">
        <f aca="false">TRUE()</f>
        <v>1</v>
      </c>
      <c r="N4" s="22"/>
    </row>
    <row r="5" customFormat="false" ht="15" hidden="false" customHeight="false" outlineLevel="0" collapsed="false">
      <c r="A5" s="5" t="s">
        <v>134</v>
      </c>
      <c r="B5" s="20" t="s">
        <v>104</v>
      </c>
      <c r="C5" s="5" t="s">
        <v>135</v>
      </c>
      <c r="D5" s="5" t="s">
        <v>136</v>
      </c>
      <c r="E5" s="5" t="s">
        <v>59</v>
      </c>
      <c r="F5" s="5" t="s">
        <v>121</v>
      </c>
      <c r="G5" s="5" t="s">
        <v>137</v>
      </c>
      <c r="H5" s="5"/>
      <c r="I5" s="5"/>
      <c r="J5" s="5" t="s">
        <v>125</v>
      </c>
      <c r="K5" s="5"/>
      <c r="L5" s="5" t="s">
        <v>85</v>
      </c>
      <c r="M5" s="21" t="b">
        <f aca="false">TRUE()</f>
        <v>1</v>
      </c>
      <c r="N5" s="5"/>
    </row>
    <row r="7" customFormat="false" ht="15" hidden="false" customHeight="true" outlineLevel="0" collapsed="false">
      <c r="A7" s="26" t="s">
        <v>138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</sheetData>
  <mergeCells count="2">
    <mergeCell ref="A1:N1"/>
    <mergeCell ref="A7:N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20"/>
    <col collapsed="false" customWidth="true" hidden="false" outlineLevel="0" max="9" min="9" style="0" width="40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27" t="s">
        <v>139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22.35" hidden="false" customHeight="false" outlineLevel="0" collapsed="false">
      <c r="A2" s="28" t="s">
        <v>38</v>
      </c>
      <c r="B2" s="28" t="s">
        <v>107</v>
      </c>
      <c r="C2" s="28" t="s">
        <v>140</v>
      </c>
      <c r="D2" s="28" t="s">
        <v>141</v>
      </c>
      <c r="E2" s="28" t="s">
        <v>142</v>
      </c>
      <c r="F2" s="28" t="s">
        <v>143</v>
      </c>
      <c r="G2" s="28" t="s">
        <v>144</v>
      </c>
      <c r="H2" s="28" t="s">
        <v>145</v>
      </c>
      <c r="I2" s="28" t="s">
        <v>146</v>
      </c>
      <c r="J2" s="28" t="s">
        <v>147</v>
      </c>
      <c r="K2" s="28" t="s">
        <v>42</v>
      </c>
      <c r="L2" s="28" t="s">
        <v>148</v>
      </c>
      <c r="M2" s="28" t="s">
        <v>149</v>
      </c>
      <c r="N2" s="28" t="s">
        <v>46</v>
      </c>
    </row>
    <row r="3" customFormat="false" ht="22.35" hidden="false" customHeight="false" outlineLevel="0" collapsed="false">
      <c r="A3" s="5" t="s">
        <v>150</v>
      </c>
      <c r="B3" s="20" t="s">
        <v>104</v>
      </c>
      <c r="C3" s="20" t="s">
        <v>134</v>
      </c>
      <c r="D3" s="5" t="s">
        <v>136</v>
      </c>
      <c r="E3" s="5" t="s">
        <v>151</v>
      </c>
      <c r="F3" s="5" t="s">
        <v>152</v>
      </c>
      <c r="G3" s="5" t="n">
        <v>200000</v>
      </c>
      <c r="H3" s="5" t="n">
        <v>150000</v>
      </c>
      <c r="I3" s="29" t="s">
        <v>153</v>
      </c>
      <c r="J3" s="5" t="s">
        <v>53</v>
      </c>
      <c r="K3" s="5"/>
      <c r="L3" s="20"/>
      <c r="M3" s="5" t="s">
        <v>154</v>
      </c>
      <c r="N3" s="5"/>
    </row>
    <row r="4" customFormat="false" ht="22.35" hidden="false" customHeight="false" outlineLevel="0" collapsed="false">
      <c r="A4" s="22" t="s">
        <v>155</v>
      </c>
      <c r="B4" s="20" t="s">
        <v>102</v>
      </c>
      <c r="C4" s="20" t="s">
        <v>118</v>
      </c>
      <c r="D4" s="22" t="s">
        <v>156</v>
      </c>
      <c r="E4" s="22" t="s">
        <v>157</v>
      </c>
      <c r="F4" s="22" t="s">
        <v>152</v>
      </c>
      <c r="G4" s="22"/>
      <c r="H4" s="22"/>
      <c r="I4" s="29" t="s">
        <v>158</v>
      </c>
      <c r="J4" s="22" t="s">
        <v>53</v>
      </c>
      <c r="K4" s="22"/>
      <c r="L4" s="20"/>
      <c r="M4" s="22" t="s">
        <v>159</v>
      </c>
      <c r="N4" s="22"/>
    </row>
    <row r="5" customFormat="false" ht="15" hidden="false" customHeight="false" outlineLevel="0" collapsed="false">
      <c r="A5" s="5" t="s">
        <v>160</v>
      </c>
      <c r="B5" s="20" t="s">
        <v>98</v>
      </c>
      <c r="C5" s="20"/>
      <c r="D5" s="5" t="s">
        <v>161</v>
      </c>
      <c r="E5" s="5" t="s">
        <v>162</v>
      </c>
      <c r="F5" s="5" t="s">
        <v>163</v>
      </c>
      <c r="G5" s="5" t="n">
        <v>180000</v>
      </c>
      <c r="H5" s="5" t="n">
        <v>140000</v>
      </c>
      <c r="I5" s="29" t="s">
        <v>164</v>
      </c>
      <c r="J5" s="5" t="s">
        <v>165</v>
      </c>
      <c r="K5" s="5"/>
      <c r="L5" s="20"/>
      <c r="M5" s="5" t="s">
        <v>166</v>
      </c>
      <c r="N5" s="5"/>
    </row>
    <row r="7" customFormat="false" ht="15" hidden="false" customHeight="true" outlineLevel="0" collapsed="false">
      <c r="A7" s="30" t="s">
        <v>167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</sheetData>
  <mergeCells count="2">
    <mergeCell ref="A1:N1"/>
    <mergeCell ref="A7:N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42"/>
    <col collapsed="false" customWidth="true" hidden="false" outlineLevel="0" max="9" min="9" style="0" width="4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27" t="s">
        <v>168</v>
      </c>
      <c r="B1" s="27"/>
      <c r="C1" s="27"/>
      <c r="D1" s="27"/>
      <c r="E1" s="27"/>
      <c r="F1" s="27"/>
      <c r="G1" s="27"/>
      <c r="H1" s="27"/>
    </row>
    <row r="2" customFormat="false" ht="15" hidden="false" customHeight="false" outlineLevel="0" collapsed="false">
      <c r="A2" s="28" t="s">
        <v>38</v>
      </c>
      <c r="B2" s="28" t="s">
        <v>39</v>
      </c>
      <c r="C2" s="28" t="s">
        <v>40</v>
      </c>
      <c r="D2" s="28" t="s">
        <v>169</v>
      </c>
      <c r="E2" s="28" t="s">
        <v>66</v>
      </c>
      <c r="F2" s="28" t="s">
        <v>67</v>
      </c>
      <c r="G2" s="28" t="s">
        <v>97</v>
      </c>
      <c r="H2" s="28" t="s">
        <v>42</v>
      </c>
    </row>
    <row r="3" customFormat="false" ht="15" hidden="false" customHeight="false" outlineLevel="0" collapsed="false">
      <c r="A3" s="20" t="s">
        <v>170</v>
      </c>
      <c r="B3" s="5" t="s">
        <v>171</v>
      </c>
      <c r="C3" s="5"/>
      <c r="D3" s="5" t="s">
        <v>172</v>
      </c>
      <c r="E3" s="5" t="s">
        <v>173</v>
      </c>
      <c r="F3" s="5"/>
      <c r="G3" s="5"/>
      <c r="H3" s="5"/>
    </row>
    <row r="4" customFormat="false" ht="22.35" hidden="false" customHeight="false" outlineLevel="0" collapsed="false">
      <c r="A4" s="20" t="s">
        <v>174</v>
      </c>
      <c r="B4" s="22" t="s">
        <v>175</v>
      </c>
      <c r="C4" s="22"/>
      <c r="D4" s="22" t="s">
        <v>176</v>
      </c>
      <c r="E4" s="22" t="s">
        <v>177</v>
      </c>
      <c r="F4" s="22"/>
      <c r="G4" s="22"/>
      <c r="H4" s="22"/>
    </row>
    <row r="5" customFormat="false" ht="15" hidden="false" customHeight="false" outlineLevel="0" collapsed="false">
      <c r="A5" s="20" t="s">
        <v>178</v>
      </c>
      <c r="B5" s="5" t="s">
        <v>179</v>
      </c>
      <c r="C5" s="5"/>
      <c r="D5" s="5" t="s">
        <v>180</v>
      </c>
      <c r="E5" s="5" t="s">
        <v>181</v>
      </c>
      <c r="F5" s="5"/>
      <c r="G5" s="5"/>
      <c r="H5" s="5"/>
    </row>
    <row r="8" customFormat="false" ht="15" hidden="false" customHeight="false" outlineLevel="0" collapsed="false">
      <c r="A8" s="27" t="s">
        <v>182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customFormat="false" ht="22.35" hidden="false" customHeight="false" outlineLevel="0" collapsed="false">
      <c r="A9" s="28" t="s">
        <v>38</v>
      </c>
      <c r="B9" s="28" t="s">
        <v>183</v>
      </c>
      <c r="C9" s="28" t="s">
        <v>184</v>
      </c>
      <c r="D9" s="28" t="s">
        <v>142</v>
      </c>
      <c r="E9" s="28" t="s">
        <v>39</v>
      </c>
      <c r="F9" s="28" t="s">
        <v>143</v>
      </c>
      <c r="G9" s="28" t="s">
        <v>185</v>
      </c>
      <c r="H9" s="28" t="s">
        <v>146</v>
      </c>
      <c r="I9" s="28" t="s">
        <v>186</v>
      </c>
      <c r="J9" s="28" t="s">
        <v>187</v>
      </c>
      <c r="K9" s="28" t="s">
        <v>43</v>
      </c>
      <c r="L9" s="28" t="s">
        <v>45</v>
      </c>
    </row>
    <row r="10" customFormat="false" ht="22.35" hidden="false" customHeight="false" outlineLevel="0" collapsed="false">
      <c r="A10" s="22" t="s">
        <v>188</v>
      </c>
      <c r="B10" s="22" t="s">
        <v>189</v>
      </c>
      <c r="C10" s="22" t="s">
        <v>190</v>
      </c>
      <c r="D10" s="22" t="s">
        <v>191</v>
      </c>
      <c r="E10" s="22" t="s">
        <v>192</v>
      </c>
      <c r="F10" s="22" t="s">
        <v>193</v>
      </c>
      <c r="G10" s="22" t="n">
        <v>100000</v>
      </c>
      <c r="H10" s="29" t="s">
        <v>194</v>
      </c>
      <c r="I10" s="22" t="s">
        <v>195</v>
      </c>
      <c r="J10" s="20" t="s">
        <v>170</v>
      </c>
      <c r="K10" s="23" t="b">
        <f aca="false">TRUE()</f>
        <v>1</v>
      </c>
      <c r="L10" s="22" t="s">
        <v>53</v>
      </c>
    </row>
    <row r="11" customFormat="false" ht="15" hidden="false" customHeight="false" outlineLevel="0" collapsed="false">
      <c r="A11" s="5" t="s">
        <v>196</v>
      </c>
      <c r="B11" s="5" t="s">
        <v>197</v>
      </c>
      <c r="C11" s="5" t="s">
        <v>198</v>
      </c>
      <c r="D11" s="5" t="s">
        <v>199</v>
      </c>
      <c r="E11" s="5" t="s">
        <v>200</v>
      </c>
      <c r="F11" s="5" t="s">
        <v>163</v>
      </c>
      <c r="G11" s="5" t="n">
        <v>100000</v>
      </c>
      <c r="H11" s="29" t="s">
        <v>201</v>
      </c>
      <c r="I11" s="5" t="s">
        <v>202</v>
      </c>
      <c r="J11" s="20" t="s">
        <v>174</v>
      </c>
      <c r="K11" s="21" t="b">
        <f aca="false">TRUE()</f>
        <v>1</v>
      </c>
      <c r="L11" s="5" t="s">
        <v>53</v>
      </c>
    </row>
    <row r="12" customFormat="false" ht="15" hidden="false" customHeight="false" outlineLevel="0" collapsed="false">
      <c r="A12" s="22" t="s">
        <v>203</v>
      </c>
      <c r="B12" s="22" t="s">
        <v>204</v>
      </c>
      <c r="C12" s="22" t="s">
        <v>205</v>
      </c>
      <c r="D12" s="22" t="s">
        <v>205</v>
      </c>
      <c r="E12" s="22" t="s">
        <v>206</v>
      </c>
      <c r="F12" s="22" t="s">
        <v>193</v>
      </c>
      <c r="G12" s="22" t="n">
        <v>100000</v>
      </c>
      <c r="H12" s="29" t="s">
        <v>207</v>
      </c>
      <c r="I12" s="22"/>
      <c r="J12" s="20" t="s">
        <v>178</v>
      </c>
      <c r="K12" s="23" t="b">
        <f aca="false">TRUE()</f>
        <v>1</v>
      </c>
      <c r="L12" s="22" t="s">
        <v>53</v>
      </c>
    </row>
    <row r="13" customFormat="false" ht="15" hidden="false" customHeight="false" outlineLevel="0" collapsed="false">
      <c r="A13" s="5" t="s">
        <v>208</v>
      </c>
      <c r="B13" s="5" t="s">
        <v>209</v>
      </c>
      <c r="C13" s="5"/>
      <c r="D13" s="5" t="s">
        <v>210</v>
      </c>
      <c r="E13" s="5" t="s">
        <v>211</v>
      </c>
      <c r="F13" s="5" t="s">
        <v>163</v>
      </c>
      <c r="G13" s="5" t="n">
        <v>55000</v>
      </c>
      <c r="H13" s="29" t="s">
        <v>212</v>
      </c>
      <c r="I13" s="5" t="s">
        <v>213</v>
      </c>
      <c r="J13" s="20"/>
      <c r="K13" s="21" t="b">
        <f aca="false">TRUE()</f>
        <v>1</v>
      </c>
      <c r="L13" s="5" t="s">
        <v>165</v>
      </c>
    </row>
    <row r="15" customFormat="false" ht="15" hidden="false" customHeight="true" outlineLevel="0" collapsed="false">
      <c r="A15" s="30" t="s">
        <v>214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mergeCells count="3">
    <mergeCell ref="A1:H1"/>
    <mergeCell ref="A8:L8"/>
    <mergeCell ref="A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42"/>
    <col collapsed="false" customWidth="true" hidden="false" outlineLevel="0" max="11" min="11" style="0" width="40"/>
    <col collapsed="false" customWidth="true" hidden="false" outlineLevel="0" max="12" min="12" style="0" width="22"/>
    <col collapsed="false" customWidth="true" hidden="false" outlineLevel="0" max="13" min="13" style="0" width="10"/>
    <col collapsed="false" customWidth="true" hidden="false" outlineLevel="0" max="14" min="14" style="0" width="18"/>
  </cols>
  <sheetData>
    <row r="1" customFormat="false" ht="15" hidden="false" customHeight="false" outlineLevel="0" collapsed="false">
      <c r="A1" s="27" t="s">
        <v>215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22.35" hidden="false" customHeight="false" outlineLevel="0" collapsed="false">
      <c r="A2" s="28" t="s">
        <v>38</v>
      </c>
      <c r="B2" s="28" t="s">
        <v>183</v>
      </c>
      <c r="C2" s="28" t="s">
        <v>184</v>
      </c>
      <c r="D2" s="28" t="s">
        <v>142</v>
      </c>
      <c r="E2" s="28" t="s">
        <v>39</v>
      </c>
      <c r="F2" s="28" t="s">
        <v>143</v>
      </c>
      <c r="G2" s="28" t="s">
        <v>216</v>
      </c>
      <c r="H2" s="28" t="s">
        <v>217</v>
      </c>
      <c r="I2" s="28" t="s">
        <v>218</v>
      </c>
      <c r="J2" s="28" t="s">
        <v>146</v>
      </c>
      <c r="K2" s="28" t="s">
        <v>186</v>
      </c>
      <c r="L2" s="28" t="s">
        <v>187</v>
      </c>
      <c r="M2" s="28" t="s">
        <v>43</v>
      </c>
      <c r="N2" s="28" t="s">
        <v>149</v>
      </c>
    </row>
    <row r="3" customFormat="false" ht="22.35" hidden="false" customHeight="false" outlineLevel="0" collapsed="false">
      <c r="A3" s="5" t="s">
        <v>219</v>
      </c>
      <c r="B3" s="5" t="s">
        <v>220</v>
      </c>
      <c r="C3" s="5" t="s">
        <v>198</v>
      </c>
      <c r="D3" s="5" t="s">
        <v>199</v>
      </c>
      <c r="E3" s="5" t="s">
        <v>221</v>
      </c>
      <c r="F3" s="5" t="s">
        <v>163</v>
      </c>
      <c r="G3" s="5" t="n">
        <v>140000</v>
      </c>
      <c r="H3" s="5" t="n">
        <v>85000</v>
      </c>
      <c r="I3" s="5" t="n">
        <v>225000</v>
      </c>
      <c r="J3" s="29" t="s">
        <v>164</v>
      </c>
      <c r="K3" s="5" t="s">
        <v>222</v>
      </c>
      <c r="L3" s="20" t="s">
        <v>174</v>
      </c>
      <c r="M3" s="21" t="b">
        <f aca="false">TRUE()</f>
        <v>1</v>
      </c>
      <c r="N3" s="5" t="s">
        <v>159</v>
      </c>
    </row>
    <row r="4" customFormat="false" ht="22.35" hidden="false" customHeight="false" outlineLevel="0" collapsed="false">
      <c r="A4" s="22" t="s">
        <v>223</v>
      </c>
      <c r="B4" s="22" t="s">
        <v>224</v>
      </c>
      <c r="C4" s="22" t="s">
        <v>210</v>
      </c>
      <c r="D4" s="22" t="s">
        <v>225</v>
      </c>
      <c r="E4" s="22" t="s">
        <v>226</v>
      </c>
      <c r="F4" s="22" t="s">
        <v>163</v>
      </c>
      <c r="G4" s="22" t="n">
        <v>155000</v>
      </c>
      <c r="H4" s="22" t="n">
        <v>120000</v>
      </c>
      <c r="I4" s="22" t="n">
        <v>275000</v>
      </c>
      <c r="J4" s="29" t="s">
        <v>227</v>
      </c>
      <c r="K4" s="22" t="s">
        <v>228</v>
      </c>
      <c r="L4" s="20"/>
      <c r="M4" s="23" t="b">
        <f aca="false">TRUE()</f>
        <v>1</v>
      </c>
      <c r="N4" s="22" t="s">
        <v>154</v>
      </c>
    </row>
    <row r="6" customFormat="false" ht="15" hidden="false" customHeight="true" outlineLevel="0" collapsed="false">
      <c r="A6" s="30" t="s">
        <v>229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</sheetData>
  <mergeCells count="2">
    <mergeCell ref="A1:N1"/>
    <mergeCell ref="A6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31" t="s">
        <v>230</v>
      </c>
      <c r="B1" s="31"/>
      <c r="C1" s="31"/>
    </row>
    <row r="2" customFormat="false" ht="15" hidden="false" customHeight="false" outlineLevel="0" collapsed="false">
      <c r="A2" s="32" t="s">
        <v>15</v>
      </c>
      <c r="B2" s="32"/>
      <c r="C2" s="32"/>
    </row>
    <row r="3" customFormat="false" ht="15" hidden="false" customHeight="false" outlineLevel="0" collapsed="false">
      <c r="A3" s="33" t="s">
        <v>16</v>
      </c>
      <c r="B3" s="32" t="s">
        <v>231</v>
      </c>
      <c r="C3" s="32" t="s">
        <v>232</v>
      </c>
    </row>
    <row r="4" customFormat="false" ht="15" hidden="false" customHeight="false" outlineLevel="0" collapsed="false">
      <c r="A4" s="33" t="s">
        <v>16</v>
      </c>
      <c r="B4" s="32" t="s">
        <v>231</v>
      </c>
      <c r="C4" s="32" t="s">
        <v>233</v>
      </c>
    </row>
    <row r="5" customFormat="false" ht="15" hidden="false" customHeight="false" outlineLevel="0" collapsed="false">
      <c r="A5" s="33" t="s">
        <v>16</v>
      </c>
      <c r="B5" s="32" t="s">
        <v>231</v>
      </c>
      <c r="C5" s="32" t="s">
        <v>234</v>
      </c>
    </row>
    <row r="6" customFormat="false" ht="15" hidden="false" customHeight="false" outlineLevel="0" collapsed="false">
      <c r="A6" s="33" t="s">
        <v>22</v>
      </c>
      <c r="B6" s="32" t="s">
        <v>231</v>
      </c>
      <c r="C6" s="32" t="s">
        <v>235</v>
      </c>
    </row>
    <row r="7" customFormat="false" ht="15" hidden="false" customHeight="false" outlineLevel="0" collapsed="false">
      <c r="A7" s="33" t="s">
        <v>22</v>
      </c>
      <c r="B7" s="32" t="s">
        <v>231</v>
      </c>
      <c r="C7" s="32" t="s">
        <v>236</v>
      </c>
    </row>
    <row r="8" customFormat="false" ht="15" hidden="false" customHeight="false" outlineLevel="0" collapsed="false">
      <c r="A8" s="33" t="s">
        <v>22</v>
      </c>
      <c r="B8" s="32" t="s">
        <v>231</v>
      </c>
      <c r="C8" s="32" t="s">
        <v>237</v>
      </c>
    </row>
    <row r="9" customFormat="false" ht="15" hidden="false" customHeight="false" outlineLevel="0" collapsed="false">
      <c r="A9" s="34"/>
      <c r="B9" s="34"/>
      <c r="C9" s="34"/>
    </row>
    <row r="10" customFormat="false" ht="15" hidden="false" customHeight="false" outlineLevel="0" collapsed="false">
      <c r="A10" s="35" t="s">
        <v>28</v>
      </c>
      <c r="B10" s="35"/>
      <c r="C10" s="35"/>
    </row>
    <row r="11" customFormat="false" ht="15" hidden="false" customHeight="false" outlineLevel="0" collapsed="false">
      <c r="A11" s="36" t="s">
        <v>29</v>
      </c>
      <c r="B11" s="35" t="s">
        <v>238</v>
      </c>
      <c r="C11" s="35" t="s">
        <v>239</v>
      </c>
    </row>
    <row r="12" customFormat="false" ht="15" hidden="false" customHeight="false" outlineLevel="0" collapsed="false">
      <c r="A12" s="36" t="s">
        <v>29</v>
      </c>
      <c r="B12" s="35" t="s">
        <v>238</v>
      </c>
      <c r="C12" s="35" t="s">
        <v>240</v>
      </c>
    </row>
    <row r="13" customFormat="false" ht="15" hidden="false" customHeight="false" outlineLevel="0" collapsed="false">
      <c r="A13" s="36" t="s">
        <v>29</v>
      </c>
      <c r="B13" s="35" t="s">
        <v>238</v>
      </c>
      <c r="C13" s="35" t="s">
        <v>241</v>
      </c>
    </row>
    <row r="14" customFormat="false" ht="15" hidden="false" customHeight="false" outlineLevel="0" collapsed="false">
      <c r="A14" s="36" t="s">
        <v>31</v>
      </c>
      <c r="B14" s="35" t="s">
        <v>231</v>
      </c>
      <c r="C14" s="35" t="s">
        <v>242</v>
      </c>
    </row>
    <row r="15" customFormat="false" ht="15" hidden="false" customHeight="false" outlineLevel="0" collapsed="false">
      <c r="A15" s="36" t="s">
        <v>31</v>
      </c>
      <c r="B15" s="35" t="s">
        <v>231</v>
      </c>
      <c r="C15" s="35" t="s">
        <v>243</v>
      </c>
    </row>
    <row r="16" customFormat="false" ht="15" hidden="false" customHeight="false" outlineLevel="0" collapsed="false">
      <c r="A16" s="34"/>
      <c r="B16" s="34"/>
      <c r="C16" s="34"/>
    </row>
    <row r="17" customFormat="false" ht="15" hidden="false" customHeight="false" outlineLevel="0" collapsed="false">
      <c r="A17" s="37" t="s">
        <v>244</v>
      </c>
      <c r="B17" s="37"/>
      <c r="C17" s="37"/>
    </row>
    <row r="18" customFormat="false" ht="15" hidden="false" customHeight="false" outlineLevel="0" collapsed="false">
      <c r="A18" s="38" t="s">
        <v>245</v>
      </c>
      <c r="B18" s="37" t="s">
        <v>246</v>
      </c>
      <c r="C18" s="37" t="s">
        <v>247</v>
      </c>
    </row>
    <row r="19" customFormat="false" ht="15" hidden="false" customHeight="false" outlineLevel="0" collapsed="false">
      <c r="A19" s="38" t="s">
        <v>248</v>
      </c>
      <c r="B19" s="37" t="s">
        <v>246</v>
      </c>
      <c r="C19" s="37" t="s">
        <v>249</v>
      </c>
    </row>
    <row r="20" customFormat="false" ht="15" hidden="false" customHeight="false" outlineLevel="0" collapsed="false">
      <c r="A20" s="39" t="s">
        <v>146</v>
      </c>
      <c r="B20" s="40" t="s">
        <v>246</v>
      </c>
      <c r="C20" s="40" t="s">
        <v>250</v>
      </c>
    </row>
    <row r="21" customFormat="false" ht="15" hidden="false" customHeight="false" outlineLevel="0" collapsed="false">
      <c r="A21" s="39" t="s">
        <v>184</v>
      </c>
      <c r="B21" s="40" t="s">
        <v>246</v>
      </c>
      <c r="C21" s="40" t="s">
        <v>251</v>
      </c>
    </row>
    <row r="22" customFormat="false" ht="15" hidden="false" customHeight="false" outlineLevel="0" collapsed="false">
      <c r="A22" s="39" t="s">
        <v>142</v>
      </c>
      <c r="B22" s="40" t="s">
        <v>246</v>
      </c>
      <c r="C22" s="40" t="s">
        <v>252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2026-08-05T15:36:45Z</dcterms:created>
  <dc:creator>openpyxl</dc:creator>
  <dc:description/>
  <dc:language>en-US</dc:language>
  <cp:lastModifiedBy/>
  <dcterms:modified xsi:type="dcterms:W3CDTF">2026-08-05T15:36:46Z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