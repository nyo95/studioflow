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c\ProjectsHUB\studioflow\docs\"/>
    </mc:Choice>
  </mc:AlternateContent>
  <xr:revisionPtr revIDLastSave="0" documentId="13_ncr:1_{8C82DB2B-464A-4FAD-B66B-23694200842A}" xr6:coauthVersionLast="47" xr6:coauthVersionMax="47" xr10:uidLastSave="{00000000-0000-0000-0000-000000000000}"/>
  <bookViews>
    <workbookView xWindow="-110" yWindow="-110" windowWidth="38620" windowHeight="21100" activeTab="1" xr2:uid="{5F478539-725B-4748-9954-089471C203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1" l="1"/>
  <c r="A21" i="1"/>
  <c r="A15" i="1"/>
  <c r="A9" i="1"/>
</calcChain>
</file>

<file path=xl/sharedStrings.xml><?xml version="1.0" encoding="utf-8"?>
<sst xmlns="http://schemas.openxmlformats.org/spreadsheetml/2006/main" count="293" uniqueCount="187">
  <si>
    <t>MASTERDATA (alias. RADIANT)</t>
  </si>
  <si>
    <t>Table 1</t>
  </si>
  <si>
    <t>Material / Supplier List</t>
  </si>
  <si>
    <t>Table 2</t>
  </si>
  <si>
    <t>Database Harga Material</t>
  </si>
  <si>
    <t>Database Harga Material + Upah</t>
  </si>
  <si>
    <t>Database Upah</t>
  </si>
  <si>
    <t>Table 3</t>
  </si>
  <si>
    <t>Table 4</t>
  </si>
  <si>
    <t>Nama Table</t>
  </si>
  <si>
    <t>Hubungan Table</t>
  </si>
  <si>
    <t>material -&gt; studioflow
supplier -&gt; radiant (table 2-4)</t>
  </si>
  <si>
    <t>for BQ app</t>
  </si>
  <si>
    <t>Company</t>
  </si>
  <si>
    <t>Brand</t>
  </si>
  <si>
    <t>Category</t>
  </si>
  <si>
    <t>Link</t>
  </si>
  <si>
    <t>Google Drive URL</t>
  </si>
  <si>
    <t>Website</t>
  </si>
  <si>
    <t>Socmed (IG/FB/etc)</t>
  </si>
  <si>
    <t>Sales Name</t>
  </si>
  <si>
    <t>Contact</t>
  </si>
  <si>
    <t>Update Time</t>
  </si>
  <si>
    <t>Update by</t>
  </si>
  <si>
    <t>Masterdata Update Information</t>
  </si>
  <si>
    <t>Company/ Brand</t>
  </si>
  <si>
    <t>(nama brand dan nama perusahaan dari brand apabila ada)</t>
  </si>
  <si>
    <t>Product Brand</t>
  </si>
  <si>
    <t>(nama brand dari brand tsb)</t>
  </si>
  <si>
    <t>(url google drive catalog)</t>
  </si>
  <si>
    <t>(url website)</t>
  </si>
  <si>
    <t>(url sosmed apabila ada - simpan dalam json)</t>
  </si>
  <si>
    <t>(nama sales yg jual produk ini)</t>
  </si>
  <si>
    <t>(nomor kontak dari sales)</t>
  </si>
  <si>
    <t>(perusahaan yg menjual produk ini)</t>
  </si>
  <si>
    <t>Supplier's Company</t>
  </si>
  <si>
    <t>Company Categories</t>
  </si>
  <si>
    <t>(supplier, subcon, vendor, retail store, manufacture)</t>
  </si>
  <si>
    <t>(user yang update / create)</t>
  </si>
  <si>
    <t>(kapan data dibuat / di update)</t>
  </si>
  <si>
    <t>PT Tangkas Cipta Optimal</t>
  </si>
  <si>
    <t>TACO</t>
  </si>
  <si>
    <t>TACO - HPL</t>
  </si>
  <si>
    <t>HPL</t>
  </si>
  <si>
    <t>http://</t>
  </si>
  <si>
    <t>(mis. Junaedi)</t>
  </si>
  <si>
    <t>(mis. 08xxxxxx)</t>
  </si>
  <si>
    <t>(mis. Retail)</t>
  </si>
  <si>
    <t>(mis. Ferdaus)</t>
  </si>
  <si>
    <t>(mis. 10/08/2026)</t>
  </si>
  <si>
    <t>SKU</t>
  </si>
  <si>
    <t>SKU Product Relational</t>
  </si>
  <si>
    <t>Material</t>
  </si>
  <si>
    <t>(mis. TH 231 AC -  ANDESH WALNUT)</t>
  </si>
  <si>
    <t>(Tipe SKU dari material - relational dengan SKU Product Relational)</t>
  </si>
  <si>
    <t>(mis. HPL - ambil dari category table 1)</t>
  </si>
  <si>
    <t>(mis. Plywood - created by user saat input)</t>
  </si>
  <si>
    <t>plywood 9mm</t>
  </si>
  <si>
    <t>PT BDA Sejahtera</t>
  </si>
  <si>
    <t>BDA Group</t>
  </si>
  <si>
    <t>Valpra</t>
  </si>
  <si>
    <t>Sink</t>
  </si>
  <si>
    <t>(kategori dari product brand, bisa dibuat dengan model seperti hashtag [multiple categories])</t>
  </si>
  <si>
    <t>(mis.Brigete shower)</t>
  </si>
  <si>
    <t>SKU yang terkoneksi nantinya (di tabel 2) - secara desain skema bebas apakah mau dipisah table jg boleh</t>
  </si>
  <si>
    <t>(mis. Bahan Baku)</t>
  </si>
  <si>
    <t>(relational dengan product brand di table 1 apabila exist; jika tidak exist boleh tambah sendiri)</t>
  </si>
  <si>
    <t>(relational dengan brand product category di table 1 apabila exist; jika tidak exist boleh tambah sendiri)</t>
  </si>
  <si>
    <t>(relational dengan brand product brand / brand table 1 apabila exist; jika tidak exist boleh tambah sendiri, apabila tidak ada brand bisa di kosongkan)</t>
  </si>
  <si>
    <t>(mis. "-")</t>
  </si>
  <si>
    <t>Specification</t>
  </si>
  <si>
    <t>Relational to Table 1 **</t>
  </si>
  <si>
    <t>Specification 1</t>
  </si>
  <si>
    <t>Specification 2</t>
  </si>
  <si>
    <t>Dimensions</t>
  </si>
  <si>
    <t>1220 x 2440 mm</t>
  </si>
  <si>
    <t>(mis. Birch)</t>
  </si>
  <si>
    <t>(mis. Bending)</t>
  </si>
  <si>
    <t>Qty</t>
  </si>
  <si>
    <t>Unit</t>
  </si>
  <si>
    <t>Price</t>
  </si>
  <si>
    <t>(need curations)</t>
  </si>
  <si>
    <t>(unit SKU)</t>
  </si>
  <si>
    <t>(harga SKU)</t>
  </si>
  <si>
    <t>(spesifikasi dari SKU - bisa disimpan dalam json apabila ada lebih dari 2 keterangan)</t>
  </si>
  <si>
    <t>(ukuran dari SKU)</t>
  </si>
  <si>
    <t>lembar</t>
  </si>
  <si>
    <t>Supplied by</t>
  </si>
  <si>
    <t>Notes</t>
  </si>
  <si>
    <t>(notes apabila ada)</t>
  </si>
  <si>
    <t>(dibeli dimana - relate ke table 1 - di suppliers)</t>
  </si>
  <si>
    <t>(mis. Asep)</t>
  </si>
  <si>
    <t>(mis. Ace Hardware)</t>
  </si>
  <si>
    <t>(mis. Informa)</t>
  </si>
  <si>
    <t>Vendor Category</t>
  </si>
  <si>
    <t>Items</t>
  </si>
  <si>
    <t>Project Reference</t>
  </si>
  <si>
    <t>Vendor Name</t>
  </si>
  <si>
    <t>MEP</t>
  </si>
  <si>
    <t>Lighting</t>
  </si>
  <si>
    <t>rahmat</t>
  </si>
  <si>
    <t>Penarikan kabel CAT</t>
  </si>
  <si>
    <t>CAT 6</t>
  </si>
  <si>
    <t>Sipil</t>
  </si>
  <si>
    <t>Floor Works</t>
  </si>
  <si>
    <t>Tukang</t>
  </si>
  <si>
    <t>Screeding Base</t>
  </si>
  <si>
    <t>H 20-50</t>
  </si>
  <si>
    <t>-</t>
  </si>
  <si>
    <t>titik</t>
  </si>
  <si>
    <t>m2</t>
  </si>
  <si>
    <t>Sociolla SPZ, Sociolla GI, dst</t>
  </si>
  <si>
    <t>(jenis vendor)</t>
  </si>
  <si>
    <t>(sub categori yg lebih spesifik dari kategori vendor)</t>
  </si>
  <si>
    <r>
      <t xml:space="preserve">Supplier Information </t>
    </r>
    <r>
      <rPr>
        <i/>
        <sz val="10"/>
        <color rgb="FF9C5700"/>
        <rFont val="Calibri"/>
        <family val="2"/>
        <scheme val="minor"/>
      </rPr>
      <t>(mungkin bisa dibuat table khusus suppliers (?))</t>
    </r>
  </si>
  <si>
    <t>(nama vendor - mungkin bisa dibuat table khusus vendor (?))</t>
  </si>
  <si>
    <t>Vendor Informations</t>
  </si>
  <si>
    <t>Furniture</t>
  </si>
  <si>
    <t>Andi</t>
  </si>
  <si>
    <t>Meja 10x10</t>
  </si>
  <si>
    <t>pcs</t>
  </si>
  <si>
    <t>** Upah utk Vendor</t>
  </si>
  <si>
    <t>(nama items yang dibuat)</t>
  </si>
  <si>
    <t>Notes:</t>
  </si>
  <si>
    <t>Halaman Catalog</t>
  </si>
  <si>
    <t>Halaman Harga</t>
  </si>
  <si>
    <t>material -&gt; studioflow</t>
  </si>
  <si>
    <t>Sample Request</t>
  </si>
  <si>
    <t>Halaman Supplier</t>
  </si>
  <si>
    <t>Supplier</t>
  </si>
  <si>
    <t>Subcon</t>
  </si>
  <si>
    <t>Vendor</t>
  </si>
  <si>
    <t>Retail Sore</t>
  </si>
  <si>
    <t>Manufacture</t>
  </si>
  <si>
    <t>(bisa di tambahkan)</t>
  </si>
  <si>
    <t>(material)</t>
  </si>
  <si>
    <t>(material &amp; upah)</t>
  </si>
  <si>
    <t>Harga Material</t>
  </si>
  <si>
    <t>(for BQ app, SKU produk bisa utk fisik sample)</t>
  </si>
  <si>
    <t>Harga Material + Upah</t>
  </si>
  <si>
    <t>Harga Upah</t>
  </si>
  <si>
    <t>kategorinya dibagi-bagi. Relational dengan halaman harga. Saling butuh (inline edit, searchableedit)</t>
  </si>
  <si>
    <t>(yang diambil dari extension library: catalog card nya akan muncul URL)</t>
  </si>
  <si>
    <t>(roadmap fitur tambahan dari studioflow utk request material)</t>
  </si>
  <si>
    <t>single CRUD upah - data relational</t>
  </si>
  <si>
    <t>single CRUD material + upah - data relational</t>
  </si>
  <si>
    <t>single CRUD material- data relational</t>
  </si>
  <si>
    <t>Main</t>
  </si>
  <si>
    <t>Sample</t>
  </si>
  <si>
    <t>**quick entry</t>
  </si>
  <si>
    <t>semua halaman punya fitur quick entry -&gt; munculkan dialog box aja utk tiap crud nya</t>
  </si>
  <si>
    <t>semua halaman punya fitur searchableedit -&gt; kalau data ga lengkap munculin quick entry</t>
  </si>
  <si>
    <t>Material Prices</t>
  </si>
  <si>
    <t>Labour Price</t>
  </si>
  <si>
    <t>Material + Labour Prices</t>
  </si>
  <si>
    <t>remove valid from (selalu saat entry dibuat / diupdate)</t>
  </si>
  <si>
    <t>Tabs</t>
  </si>
  <si>
    <t>Net Price (optional)</t>
  </si>
  <si>
    <t>List Price (mandatory)</t>
  </si>
  <si>
    <t>Notes (optional)</t>
  </si>
  <si>
    <t>BQ code - remove</t>
  </si>
  <si>
    <t>**searchable edit</t>
  </si>
  <si>
    <t>Brand **</t>
  </si>
  <si>
    <t>Supplier **</t>
  </si>
  <si>
    <t>SKU **</t>
  </si>
  <si>
    <t>*</t>
  </si>
  <si>
    <t>tolong kasi sarannya</t>
  </si>
  <si>
    <t>Unit dropdown *</t>
  </si>
  <si>
    <t>unit dropdown *</t>
  </si>
  <si>
    <t>Work name</t>
  </si>
  <si>
    <t>Category dibuat jadi category dan subcategory *</t>
  </si>
  <si>
    <t>Vendor ** - filter by supplier category vendor or related category yg bisa ngasi jasa. Bisa jadi supplier datanya di update?*</t>
  </si>
  <si>
    <t>Specification bisa di tambah on the go (misal butuh 3 specification, tinggal pencet tombol tambah)*</t>
  </si>
  <si>
    <t>Qty (optional; default = 1)*</t>
  </si>
  <si>
    <t>Project Reference dari tabel project bq bukan project studioflow</t>
  </si>
  <si>
    <t>Masterdata satu arah sebagai ssot utk BQ dan library studioflow. Tidak boleh di reverse (studioflow / bq ke masterdata dilarang)</t>
  </si>
  <si>
    <t>Scope &amp; Notes *</t>
  </si>
  <si>
    <t>Dimensions apakah butuh utk labour? *</t>
  </si>
  <si>
    <t>Table viewer material &amp; service (hanya di kasi filter saja / via tab)</t>
  </si>
  <si>
    <t>Add Vendor (bisa di pisah apakah dia jual material / jual jasa) - terkait ke B9,C14, dan D14 tergantung jenis filternya *</t>
  </si>
  <si>
    <t>Add Brand spesifik hanya utk "material" *
quick entry yang relational terhadap vendor nya jg * **</t>
  </si>
  <si>
    <t>Simplifikasi modal nya agar userfriendly dan saling relational dengan searchableedit / popup modal * **</t>
  </si>
  <si>
    <t>Table View</t>
  </si>
  <si>
    <t>Requested Material</t>
  </si>
  <si>
    <t>Price (main page)</t>
  </si>
  <si>
    <t>table permintaan material dari desainer StudioFlow. Klik satu baris untuk menghubungi vendor, mencatat harga, atau menerima sample.*</t>
  </si>
  <si>
    <t>table view yg bisa di lihat per rak / keseluruhan daftar yg bisa di filter dan di sort by.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</si>
</sst>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3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3" borderId="1" xfId="2" applyBorder="1" applyAlignment="1">
      <alignment horizontal="center" vertical="center" wrapText="1"/>
    </xf>
    <xf numFmtId="0" fontId="2" fillId="3" borderId="1" xfId="2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3" borderId="2" xfId="2" applyBorder="1" applyAlignment="1">
      <alignment horizontal="center" vertical="center" wrapText="1"/>
    </xf>
    <xf numFmtId="0" fontId="2" fillId="3" borderId="3" xfId="2" applyBorder="1" applyAlignment="1">
      <alignment horizontal="center" vertical="center" wrapText="1"/>
    </xf>
    <xf numFmtId="0" fontId="2" fillId="3" borderId="4" xfId="2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10" fillId="0" borderId="0" xfId="5"/>
    <xf numFmtId="0" fontId="11" fillId="0" borderId="1" xfId="0" applyFont="1" applyBorder="1" applyAlignment="1">
      <alignment horizontal="left" vertical="top" wrapText="1"/>
    </xf>
    <xf numFmtId="0" fontId="12" fillId="0" borderId="1" xfId="5" applyFont="1" applyBorder="1" applyAlignment="1">
      <alignment horizontal="left" vertical="top" wrapText="1"/>
    </xf>
    <xf numFmtId="0" fontId="13" fillId="4" borderId="1" xfId="4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2" fillId="0" borderId="0" xfId="5" applyFont="1" applyBorder="1" applyAlignment="1">
      <alignment horizontal="left" vertical="top" wrapText="1"/>
    </xf>
    <xf numFmtId="0" fontId="12" fillId="0" borderId="2" xfId="5" applyFont="1" applyBorder="1" applyAlignment="1">
      <alignment horizontal="center" vertical="top" wrapText="1"/>
    </xf>
    <xf numFmtId="0" fontId="12" fillId="0" borderId="3" xfId="5" applyFont="1" applyBorder="1" applyAlignment="1">
      <alignment horizontal="center" vertical="top" wrapText="1"/>
    </xf>
    <xf numFmtId="0" fontId="12" fillId="0" borderId="4" xfId="5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0" fillId="0" borderId="0" xfId="0" applyBorder="1"/>
    <xf numFmtId="0" fontId="11" fillId="0" borderId="0" xfId="0" applyFont="1" applyBorder="1" applyAlignment="1">
      <alignment horizontal="left" vertical="top" wrapText="1"/>
    </xf>
    <xf numFmtId="0" fontId="12" fillId="0" borderId="0" xfId="5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0" xfId="5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</cellXfs>
  <cellStyles count="6">
    <cellStyle name="Bad" xfId="4" builtinId="27"/>
    <cellStyle name="Explanatory Text" xfId="5" builtinId="53"/>
    <cellStyle name="Good" xfId="1" builtinId="26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FD3E-42A8-4F54-91ED-FAB1F9CAB393}">
  <dimension ref="A1:N44"/>
  <sheetViews>
    <sheetView topLeftCell="A16" workbookViewId="0">
      <selection activeCell="F37" sqref="F37"/>
    </sheetView>
  </sheetViews>
  <sheetFormatPr defaultRowHeight="14.5" x14ac:dyDescent="0.35"/>
  <cols>
    <col min="1" max="14" width="18.90625" style="1" customWidth="1"/>
    <col min="15" max="15" width="16.36328125" style="1" customWidth="1"/>
    <col min="16" max="16384" width="8.7265625" style="1"/>
  </cols>
  <sheetData>
    <row r="1" spans="1:14" ht="29" customHeight="1" x14ac:dyDescent="0.35">
      <c r="A1" s="39" t="s">
        <v>0</v>
      </c>
      <c r="B1" s="39"/>
      <c r="C1" s="39"/>
      <c r="D1" s="39"/>
      <c r="E1" s="39"/>
    </row>
    <row r="3" spans="1:14" x14ac:dyDescent="0.35">
      <c r="A3" s="14"/>
      <c r="B3" s="19" t="s">
        <v>9</v>
      </c>
      <c r="C3" s="19"/>
      <c r="D3" s="19" t="s">
        <v>10</v>
      </c>
      <c r="E3" s="19"/>
      <c r="G3" s="1" t="s">
        <v>123</v>
      </c>
    </row>
    <row r="4" spans="1:14" ht="14.5" customHeight="1" x14ac:dyDescent="0.35">
      <c r="A4" s="6" t="s">
        <v>1</v>
      </c>
      <c r="B4" s="25" t="s">
        <v>2</v>
      </c>
      <c r="C4" s="25"/>
      <c r="D4" s="23" t="s">
        <v>11</v>
      </c>
      <c r="E4" s="23"/>
      <c r="G4" s="3" t="s">
        <v>121</v>
      </c>
    </row>
    <row r="5" spans="1:14" ht="14.5" customHeight="1" x14ac:dyDescent="0.35">
      <c r="A5" s="6" t="s">
        <v>3</v>
      </c>
      <c r="B5" s="25" t="s">
        <v>4</v>
      </c>
      <c r="C5" s="25"/>
      <c r="D5" s="23" t="s">
        <v>12</v>
      </c>
      <c r="E5" s="23"/>
    </row>
    <row r="6" spans="1:14" ht="14.5" customHeight="1" x14ac:dyDescent="0.35">
      <c r="A6" s="6" t="s">
        <v>7</v>
      </c>
      <c r="B6" s="25" t="s">
        <v>5</v>
      </c>
      <c r="C6" s="25"/>
      <c r="D6" s="23" t="s">
        <v>12</v>
      </c>
      <c r="E6" s="23"/>
    </row>
    <row r="7" spans="1:14" x14ac:dyDescent="0.35">
      <c r="A7" s="6" t="s">
        <v>8</v>
      </c>
      <c r="B7" s="25" t="s">
        <v>6</v>
      </c>
      <c r="C7" s="25"/>
      <c r="D7" s="23" t="s">
        <v>12</v>
      </c>
      <c r="E7" s="23"/>
    </row>
    <row r="9" spans="1:14" x14ac:dyDescent="0.35">
      <c r="A9" s="40" t="str">
        <f>_xlfn.TEXTJOIN(" - ",,A4,B4)</f>
        <v>Table 1 - Material / Supplier List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</row>
    <row r="10" spans="1:14" s="2" customFormat="1" x14ac:dyDescent="0.35">
      <c r="A10" s="19" t="s">
        <v>25</v>
      </c>
      <c r="B10" s="19"/>
      <c r="C10" s="19" t="s">
        <v>27</v>
      </c>
      <c r="D10" s="19" t="s">
        <v>15</v>
      </c>
      <c r="E10" s="19" t="s">
        <v>16</v>
      </c>
      <c r="F10" s="19"/>
      <c r="G10" s="19"/>
      <c r="H10" s="28" t="s">
        <v>114</v>
      </c>
      <c r="I10" s="29"/>
      <c r="J10" s="29"/>
      <c r="K10" s="30"/>
      <c r="L10" s="19" t="s">
        <v>24</v>
      </c>
      <c r="M10" s="19"/>
      <c r="N10" s="19" t="s">
        <v>51</v>
      </c>
    </row>
    <row r="11" spans="1:14" s="2" customFormat="1" x14ac:dyDescent="0.35">
      <c r="A11" s="8" t="s">
        <v>13</v>
      </c>
      <c r="B11" s="8" t="s">
        <v>14</v>
      </c>
      <c r="C11" s="19"/>
      <c r="D11" s="19"/>
      <c r="E11" s="8" t="s">
        <v>17</v>
      </c>
      <c r="F11" s="8" t="s">
        <v>18</v>
      </c>
      <c r="G11" s="8" t="s">
        <v>19</v>
      </c>
      <c r="H11" s="12" t="s">
        <v>20</v>
      </c>
      <c r="I11" s="12" t="s">
        <v>21</v>
      </c>
      <c r="J11" s="12" t="s">
        <v>35</v>
      </c>
      <c r="K11" s="12" t="s">
        <v>36</v>
      </c>
      <c r="L11" s="8" t="s">
        <v>23</v>
      </c>
      <c r="M11" s="8" t="s">
        <v>22</v>
      </c>
      <c r="N11" s="19"/>
    </row>
    <row r="12" spans="1:14" s="4" customFormat="1" ht="64.5" customHeight="1" x14ac:dyDescent="0.35">
      <c r="A12" s="24" t="s">
        <v>26</v>
      </c>
      <c r="B12" s="24"/>
      <c r="C12" s="5" t="s">
        <v>28</v>
      </c>
      <c r="D12" s="5" t="s">
        <v>62</v>
      </c>
      <c r="E12" s="5" t="s">
        <v>29</v>
      </c>
      <c r="F12" s="5" t="s">
        <v>30</v>
      </c>
      <c r="G12" s="5" t="s">
        <v>31</v>
      </c>
      <c r="H12" s="13" t="s">
        <v>32</v>
      </c>
      <c r="I12" s="13" t="s">
        <v>33</v>
      </c>
      <c r="J12" s="13" t="s">
        <v>34</v>
      </c>
      <c r="K12" s="13" t="s">
        <v>37</v>
      </c>
      <c r="L12" s="5" t="s">
        <v>38</v>
      </c>
      <c r="M12" s="5" t="s">
        <v>39</v>
      </c>
      <c r="N12" s="5" t="s">
        <v>64</v>
      </c>
    </row>
    <row r="13" spans="1:14" x14ac:dyDescent="0.35">
      <c r="A13" s="6" t="s">
        <v>58</v>
      </c>
      <c r="B13" s="6" t="s">
        <v>59</v>
      </c>
      <c r="C13" s="6" t="s">
        <v>60</v>
      </c>
      <c r="D13" s="6" t="s">
        <v>61</v>
      </c>
      <c r="E13" s="7" t="s">
        <v>44</v>
      </c>
      <c r="F13" s="7" t="s">
        <v>44</v>
      </c>
      <c r="G13" s="7" t="s">
        <v>44</v>
      </c>
      <c r="H13" s="13" t="s">
        <v>45</v>
      </c>
      <c r="I13" s="13" t="s">
        <v>46</v>
      </c>
      <c r="J13" s="13" t="s">
        <v>92</v>
      </c>
      <c r="K13" s="13" t="s">
        <v>47</v>
      </c>
      <c r="L13" s="6" t="s">
        <v>48</v>
      </c>
      <c r="M13" s="6" t="s">
        <v>49</v>
      </c>
      <c r="N13" s="6" t="s">
        <v>63</v>
      </c>
    </row>
    <row r="14" spans="1:14" ht="29" x14ac:dyDescent="0.35">
      <c r="A14" s="6" t="s">
        <v>40</v>
      </c>
      <c r="B14" s="6" t="s">
        <v>41</v>
      </c>
      <c r="C14" s="6" t="s">
        <v>42</v>
      </c>
      <c r="D14" s="6" t="s">
        <v>43</v>
      </c>
      <c r="E14" s="7" t="s">
        <v>44</v>
      </c>
      <c r="F14" s="7" t="s">
        <v>44</v>
      </c>
      <c r="G14" s="7" t="s">
        <v>44</v>
      </c>
      <c r="H14" s="13" t="s">
        <v>91</v>
      </c>
      <c r="I14" s="13" t="s">
        <v>46</v>
      </c>
      <c r="J14" s="13" t="s">
        <v>93</v>
      </c>
      <c r="K14" s="13" t="s">
        <v>47</v>
      </c>
      <c r="L14" s="6" t="s">
        <v>48</v>
      </c>
      <c r="M14" s="6" t="s">
        <v>49</v>
      </c>
      <c r="N14" s="6" t="s">
        <v>53</v>
      </c>
    </row>
    <row r="15" spans="1:14" x14ac:dyDescent="0.35">
      <c r="A15" s="34" t="str">
        <f>_xlfn.TEXTJOIN(" - ",,A5,B5)</f>
        <v>Table 2 - Database Harga Material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6"/>
    </row>
    <row r="16" spans="1:14" s="2" customFormat="1" x14ac:dyDescent="0.35">
      <c r="A16" s="37" t="s">
        <v>50</v>
      </c>
      <c r="B16" s="20" t="s">
        <v>71</v>
      </c>
      <c r="C16" s="21"/>
      <c r="D16" s="22"/>
      <c r="E16" s="20" t="s">
        <v>70</v>
      </c>
      <c r="F16" s="22"/>
      <c r="G16" s="37" t="s">
        <v>74</v>
      </c>
      <c r="H16" s="37" t="s">
        <v>78</v>
      </c>
      <c r="I16" s="37" t="s">
        <v>79</v>
      </c>
      <c r="J16" s="37" t="s">
        <v>80</v>
      </c>
      <c r="K16" s="37" t="s">
        <v>87</v>
      </c>
      <c r="L16" s="37" t="s">
        <v>88</v>
      </c>
      <c r="M16" s="19" t="s">
        <v>24</v>
      </c>
      <c r="N16" s="19"/>
    </row>
    <row r="17" spans="1:14" s="2" customFormat="1" x14ac:dyDescent="0.35">
      <c r="A17" s="38"/>
      <c r="B17" s="10" t="s">
        <v>52</v>
      </c>
      <c r="C17" s="8" t="s">
        <v>15</v>
      </c>
      <c r="D17" s="8" t="s">
        <v>14</v>
      </c>
      <c r="E17" s="8" t="s">
        <v>72</v>
      </c>
      <c r="F17" s="8" t="s">
        <v>73</v>
      </c>
      <c r="G17" s="38"/>
      <c r="H17" s="38"/>
      <c r="I17" s="38"/>
      <c r="J17" s="38"/>
      <c r="K17" s="38"/>
      <c r="L17" s="38"/>
      <c r="M17" s="8" t="s">
        <v>23</v>
      </c>
      <c r="N17" s="8" t="s">
        <v>22</v>
      </c>
    </row>
    <row r="18" spans="1:14" s="4" customFormat="1" ht="87.5" customHeight="1" x14ac:dyDescent="0.35">
      <c r="A18" s="9" t="s">
        <v>54</v>
      </c>
      <c r="B18" s="9" t="s">
        <v>66</v>
      </c>
      <c r="C18" s="9" t="s">
        <v>67</v>
      </c>
      <c r="D18" s="9" t="s">
        <v>68</v>
      </c>
      <c r="E18" s="26" t="s">
        <v>84</v>
      </c>
      <c r="F18" s="27"/>
      <c r="G18" s="5" t="s">
        <v>85</v>
      </c>
      <c r="H18" s="5" t="s">
        <v>81</v>
      </c>
      <c r="I18" s="5" t="s">
        <v>82</v>
      </c>
      <c r="J18" s="5" t="s">
        <v>83</v>
      </c>
      <c r="K18" s="5" t="s">
        <v>90</v>
      </c>
      <c r="L18" s="5" t="s">
        <v>89</v>
      </c>
      <c r="M18" s="5" t="s">
        <v>38</v>
      </c>
      <c r="N18" s="5" t="s">
        <v>39</v>
      </c>
    </row>
    <row r="19" spans="1:14" ht="29" x14ac:dyDescent="0.35">
      <c r="A19" s="6" t="s">
        <v>53</v>
      </c>
      <c r="B19" s="6" t="s">
        <v>55</v>
      </c>
      <c r="C19" s="6" t="s">
        <v>43</v>
      </c>
      <c r="D19" s="6" t="s">
        <v>41</v>
      </c>
      <c r="E19" s="7"/>
      <c r="F19" s="7"/>
      <c r="G19" s="6" t="s">
        <v>75</v>
      </c>
      <c r="H19" s="6">
        <v>1</v>
      </c>
      <c r="I19" s="6" t="s">
        <v>86</v>
      </c>
      <c r="J19" s="11">
        <v>150000</v>
      </c>
      <c r="K19" s="6" t="s">
        <v>92</v>
      </c>
      <c r="L19" s="6"/>
      <c r="M19" s="6" t="s">
        <v>48</v>
      </c>
      <c r="N19" s="6" t="s">
        <v>49</v>
      </c>
    </row>
    <row r="20" spans="1:14" ht="43.5" x14ac:dyDescent="0.35">
      <c r="A20" s="6" t="s">
        <v>57</v>
      </c>
      <c r="B20" s="6" t="s">
        <v>56</v>
      </c>
      <c r="C20" s="6" t="s">
        <v>65</v>
      </c>
      <c r="D20" s="6" t="s">
        <v>69</v>
      </c>
      <c r="E20" s="6" t="s">
        <v>76</v>
      </c>
      <c r="F20" s="6" t="s">
        <v>77</v>
      </c>
      <c r="G20" s="6" t="s">
        <v>75</v>
      </c>
      <c r="H20" s="6">
        <v>1</v>
      </c>
      <c r="I20" s="6" t="s">
        <v>86</v>
      </c>
      <c r="J20" s="11">
        <v>300000</v>
      </c>
      <c r="K20" s="6" t="s">
        <v>93</v>
      </c>
      <c r="L20" s="6"/>
      <c r="M20" s="6" t="s">
        <v>48</v>
      </c>
      <c r="N20" s="6" t="s">
        <v>49</v>
      </c>
    </row>
    <row r="21" spans="1:14" x14ac:dyDescent="0.35">
      <c r="A21" s="34" t="str">
        <f>_xlfn.TEXTJOIN(" - ",,A6,B6)</f>
        <v>Table 3 - Database Harga Material + Upah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6"/>
    </row>
    <row r="22" spans="1:14" s="2" customFormat="1" ht="14.5" customHeight="1" x14ac:dyDescent="0.35">
      <c r="A22" s="20" t="s">
        <v>116</v>
      </c>
      <c r="B22" s="21"/>
      <c r="C22" s="22"/>
      <c r="D22" s="20" t="s">
        <v>70</v>
      </c>
      <c r="E22" s="22"/>
      <c r="F22" s="37" t="s">
        <v>74</v>
      </c>
      <c r="G22" s="37" t="s">
        <v>78</v>
      </c>
      <c r="H22" s="37" t="s">
        <v>79</v>
      </c>
      <c r="I22" s="37" t="s">
        <v>80</v>
      </c>
      <c r="J22" s="37" t="s">
        <v>96</v>
      </c>
      <c r="K22" s="37" t="s">
        <v>88</v>
      </c>
      <c r="L22" s="20" t="s">
        <v>24</v>
      </c>
      <c r="M22" s="22"/>
      <c r="N22" s="31"/>
    </row>
    <row r="23" spans="1:14" s="2" customFormat="1" x14ac:dyDescent="0.35">
      <c r="A23" s="10" t="s">
        <v>94</v>
      </c>
      <c r="B23" s="8" t="s">
        <v>15</v>
      </c>
      <c r="C23" s="8" t="s">
        <v>97</v>
      </c>
      <c r="D23" s="8" t="s">
        <v>72</v>
      </c>
      <c r="E23" s="8" t="s">
        <v>73</v>
      </c>
      <c r="F23" s="38"/>
      <c r="G23" s="38"/>
      <c r="H23" s="38"/>
      <c r="I23" s="38"/>
      <c r="J23" s="38"/>
      <c r="K23" s="38"/>
      <c r="L23" s="8" t="s">
        <v>23</v>
      </c>
      <c r="M23" s="8" t="s">
        <v>22</v>
      </c>
      <c r="N23" s="32"/>
    </row>
    <row r="24" spans="1:14" s="4" customFormat="1" ht="36" customHeight="1" x14ac:dyDescent="0.35">
      <c r="A24" s="9" t="s">
        <v>112</v>
      </c>
      <c r="B24" s="9" t="s">
        <v>113</v>
      </c>
      <c r="C24" s="9" t="s">
        <v>115</v>
      </c>
      <c r="D24" s="26" t="s">
        <v>84</v>
      </c>
      <c r="E24" s="27"/>
      <c r="F24" s="5" t="s">
        <v>85</v>
      </c>
      <c r="G24" s="5" t="s">
        <v>81</v>
      </c>
      <c r="H24" s="5" t="s">
        <v>82</v>
      </c>
      <c r="I24" s="5" t="s">
        <v>83</v>
      </c>
      <c r="J24" s="5"/>
      <c r="K24" s="5" t="s">
        <v>89</v>
      </c>
      <c r="L24" s="5" t="s">
        <v>38</v>
      </c>
      <c r="M24" s="5" t="s">
        <v>39</v>
      </c>
      <c r="N24" s="32"/>
    </row>
    <row r="25" spans="1:14" ht="29" x14ac:dyDescent="0.35">
      <c r="A25" s="6" t="s">
        <v>98</v>
      </c>
      <c r="B25" s="6" t="s">
        <v>99</v>
      </c>
      <c r="C25" s="6" t="s">
        <v>100</v>
      </c>
      <c r="D25" s="6" t="s">
        <v>101</v>
      </c>
      <c r="E25" s="6" t="s">
        <v>102</v>
      </c>
      <c r="F25" s="6" t="s">
        <v>108</v>
      </c>
      <c r="G25" s="6">
        <v>1</v>
      </c>
      <c r="H25" s="6" t="s">
        <v>109</v>
      </c>
      <c r="I25" s="11">
        <v>1000000</v>
      </c>
      <c r="J25" s="6" t="s">
        <v>111</v>
      </c>
      <c r="K25" s="6"/>
      <c r="L25" s="6" t="s">
        <v>48</v>
      </c>
      <c r="M25" s="6" t="s">
        <v>49</v>
      </c>
      <c r="N25" s="32"/>
    </row>
    <row r="26" spans="1:14" x14ac:dyDescent="0.35">
      <c r="A26" s="6" t="s">
        <v>103</v>
      </c>
      <c r="B26" s="6" t="s">
        <v>104</v>
      </c>
      <c r="C26" s="6" t="s">
        <v>105</v>
      </c>
      <c r="D26" s="6" t="s">
        <v>106</v>
      </c>
      <c r="E26" s="6" t="s">
        <v>107</v>
      </c>
      <c r="F26" s="6" t="s">
        <v>108</v>
      </c>
      <c r="G26" s="6">
        <v>1</v>
      </c>
      <c r="H26" s="6" t="s">
        <v>110</v>
      </c>
      <c r="I26" s="11">
        <v>500000</v>
      </c>
      <c r="J26" s="6"/>
      <c r="K26" s="6"/>
      <c r="L26" s="6" t="s">
        <v>48</v>
      </c>
      <c r="M26" s="6" t="s">
        <v>49</v>
      </c>
      <c r="N26" s="33"/>
    </row>
    <row r="27" spans="1:14" x14ac:dyDescent="0.35">
      <c r="A27" s="34" t="str">
        <f>_xlfn.TEXTJOIN(" - ",,A7,B7)</f>
        <v>Table 4 - Database Upah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6"/>
    </row>
    <row r="28" spans="1:14" x14ac:dyDescent="0.35">
      <c r="A28" s="20" t="s">
        <v>116</v>
      </c>
      <c r="B28" s="21"/>
      <c r="C28" s="22"/>
      <c r="D28" s="37" t="s">
        <v>95</v>
      </c>
      <c r="E28" s="20" t="s">
        <v>70</v>
      </c>
      <c r="F28" s="22"/>
      <c r="G28" s="37" t="s">
        <v>74</v>
      </c>
      <c r="H28" s="37" t="s">
        <v>78</v>
      </c>
      <c r="I28" s="37" t="s">
        <v>79</v>
      </c>
      <c r="J28" s="37" t="s">
        <v>80</v>
      </c>
      <c r="K28" s="37" t="s">
        <v>96</v>
      </c>
      <c r="L28" s="37" t="s">
        <v>88</v>
      </c>
      <c r="M28" s="19" t="s">
        <v>24</v>
      </c>
      <c r="N28" s="19"/>
    </row>
    <row r="29" spans="1:14" x14ac:dyDescent="0.35">
      <c r="A29" s="10" t="s">
        <v>94</v>
      </c>
      <c r="B29" s="8" t="s">
        <v>15</v>
      </c>
      <c r="C29" s="8" t="s">
        <v>97</v>
      </c>
      <c r="D29" s="38"/>
      <c r="E29" s="8" t="s">
        <v>72</v>
      </c>
      <c r="F29" s="8" t="s">
        <v>73</v>
      </c>
      <c r="G29" s="38"/>
      <c r="H29" s="38"/>
      <c r="I29" s="38"/>
      <c r="J29" s="38"/>
      <c r="K29" s="38"/>
      <c r="L29" s="38"/>
      <c r="M29" s="8" t="s">
        <v>23</v>
      </c>
      <c r="N29" s="8" t="s">
        <v>22</v>
      </c>
    </row>
    <row r="30" spans="1:14" ht="36" x14ac:dyDescent="0.35">
      <c r="A30" s="9" t="s">
        <v>112</v>
      </c>
      <c r="B30" s="9" t="s">
        <v>113</v>
      </c>
      <c r="C30" s="9" t="s">
        <v>115</v>
      </c>
      <c r="D30" s="5" t="s">
        <v>122</v>
      </c>
      <c r="E30" s="26" t="s">
        <v>84</v>
      </c>
      <c r="F30" s="27"/>
      <c r="G30" s="5" t="s">
        <v>85</v>
      </c>
      <c r="H30" s="5" t="s">
        <v>81</v>
      </c>
      <c r="I30" s="5" t="s">
        <v>82</v>
      </c>
      <c r="J30" s="5" t="s">
        <v>83</v>
      </c>
      <c r="K30" s="5"/>
      <c r="L30" s="5" t="s">
        <v>89</v>
      </c>
      <c r="M30" s="5" t="s">
        <v>38</v>
      </c>
      <c r="N30" s="5" t="s">
        <v>39</v>
      </c>
    </row>
    <row r="31" spans="1:14" ht="29" x14ac:dyDescent="0.35">
      <c r="A31" s="6" t="s">
        <v>117</v>
      </c>
      <c r="B31" s="6" t="s">
        <v>117</v>
      </c>
      <c r="C31" s="6" t="s">
        <v>118</v>
      </c>
      <c r="D31" s="6" t="s">
        <v>119</v>
      </c>
      <c r="E31" s="6"/>
      <c r="F31" s="6"/>
      <c r="G31" s="6" t="s">
        <v>108</v>
      </c>
      <c r="H31" s="6">
        <v>1</v>
      </c>
      <c r="I31" s="6" t="s">
        <v>120</v>
      </c>
      <c r="J31" s="11">
        <v>1000000</v>
      </c>
      <c r="K31" s="6" t="s">
        <v>111</v>
      </c>
      <c r="L31" s="6"/>
      <c r="M31" s="6" t="s">
        <v>48</v>
      </c>
      <c r="N31" s="6" t="s">
        <v>49</v>
      </c>
    </row>
    <row r="34" spans="1:5" ht="31.5" customHeight="1" x14ac:dyDescent="0.35">
      <c r="A34" s="6" t="s">
        <v>124</v>
      </c>
      <c r="B34" s="16" t="s">
        <v>126</v>
      </c>
      <c r="C34" s="17"/>
      <c r="D34" s="15" t="s">
        <v>142</v>
      </c>
      <c r="E34" s="15"/>
    </row>
    <row r="35" spans="1:5" ht="31.5" customHeight="1" x14ac:dyDescent="0.35">
      <c r="A35" s="6" t="s">
        <v>127</v>
      </c>
      <c r="B35" s="16" t="s">
        <v>126</v>
      </c>
      <c r="C35" s="17"/>
      <c r="D35" s="15" t="s">
        <v>143</v>
      </c>
      <c r="E35" s="15"/>
    </row>
    <row r="36" spans="1:5" ht="25" customHeight="1" x14ac:dyDescent="0.35">
      <c r="A36" s="18" t="s">
        <v>125</v>
      </c>
      <c r="B36" s="6" t="s">
        <v>137</v>
      </c>
      <c r="C36" s="5" t="s">
        <v>146</v>
      </c>
      <c r="D36" s="15" t="s">
        <v>138</v>
      </c>
      <c r="E36" s="15"/>
    </row>
    <row r="37" spans="1:5" ht="25" customHeight="1" x14ac:dyDescent="0.35">
      <c r="A37" s="18"/>
      <c r="B37" s="6" t="s">
        <v>139</v>
      </c>
      <c r="C37" s="5" t="s">
        <v>145</v>
      </c>
      <c r="D37" s="15" t="s">
        <v>138</v>
      </c>
      <c r="E37" s="15"/>
    </row>
    <row r="38" spans="1:5" ht="25" customHeight="1" x14ac:dyDescent="0.35">
      <c r="A38" s="18"/>
      <c r="B38" s="6" t="s">
        <v>140</v>
      </c>
      <c r="C38" s="5" t="s">
        <v>144</v>
      </c>
      <c r="D38" s="15" t="s">
        <v>138</v>
      </c>
      <c r="E38" s="15"/>
    </row>
    <row r="39" spans="1:5" x14ac:dyDescent="0.35">
      <c r="A39" s="18" t="s">
        <v>128</v>
      </c>
      <c r="B39" s="15" t="s">
        <v>141</v>
      </c>
      <c r="C39" s="6" t="s">
        <v>129</v>
      </c>
      <c r="D39" s="15" t="s">
        <v>135</v>
      </c>
      <c r="E39" s="15"/>
    </row>
    <row r="40" spans="1:5" x14ac:dyDescent="0.35">
      <c r="A40" s="18"/>
      <c r="B40" s="15"/>
      <c r="C40" s="6" t="s">
        <v>130</v>
      </c>
      <c r="D40" s="15" t="s">
        <v>136</v>
      </c>
      <c r="E40" s="15"/>
    </row>
    <row r="41" spans="1:5" x14ac:dyDescent="0.35">
      <c r="A41" s="18"/>
      <c r="B41" s="15"/>
      <c r="C41" s="6" t="s">
        <v>131</v>
      </c>
      <c r="D41" s="15" t="s">
        <v>136</v>
      </c>
      <c r="E41" s="15"/>
    </row>
    <row r="42" spans="1:5" x14ac:dyDescent="0.35">
      <c r="A42" s="18"/>
      <c r="B42" s="15"/>
      <c r="C42" s="6" t="s">
        <v>132</v>
      </c>
      <c r="D42" s="15" t="s">
        <v>135</v>
      </c>
      <c r="E42" s="15"/>
    </row>
    <row r="43" spans="1:5" x14ac:dyDescent="0.35">
      <c r="A43" s="18"/>
      <c r="B43" s="15"/>
      <c r="C43" s="6" t="s">
        <v>133</v>
      </c>
      <c r="D43" s="15" t="s">
        <v>135</v>
      </c>
      <c r="E43" s="15"/>
    </row>
    <row r="44" spans="1:5" x14ac:dyDescent="0.35">
      <c r="A44" s="15" t="s">
        <v>134</v>
      </c>
      <c r="B44" s="15"/>
      <c r="C44" s="15"/>
      <c r="D44" s="15"/>
      <c r="E44" s="15"/>
    </row>
  </sheetData>
  <mergeCells count="72">
    <mergeCell ref="L28:L29"/>
    <mergeCell ref="M28:N28"/>
    <mergeCell ref="A9:N9"/>
    <mergeCell ref="A15:N15"/>
    <mergeCell ref="A16:A17"/>
    <mergeCell ref="G22:G23"/>
    <mergeCell ref="H22:H23"/>
    <mergeCell ref="I22:I23"/>
    <mergeCell ref="J22:J23"/>
    <mergeCell ref="K22:K23"/>
    <mergeCell ref="A1:E1"/>
    <mergeCell ref="A28:C28"/>
    <mergeCell ref="D28:D29"/>
    <mergeCell ref="A22:C22"/>
    <mergeCell ref="D22:E22"/>
    <mergeCell ref="D24:E24"/>
    <mergeCell ref="G28:G29"/>
    <mergeCell ref="H28:H29"/>
    <mergeCell ref="A21:N21"/>
    <mergeCell ref="G16:G17"/>
    <mergeCell ref="H16:H17"/>
    <mergeCell ref="I16:I17"/>
    <mergeCell ref="J16:J17"/>
    <mergeCell ref="E18:F18"/>
    <mergeCell ref="M16:N16"/>
    <mergeCell ref="K16:K17"/>
    <mergeCell ref="L16:L17"/>
    <mergeCell ref="L22:M22"/>
    <mergeCell ref="F22:F23"/>
    <mergeCell ref="I28:I29"/>
    <mergeCell ref="J28:J29"/>
    <mergeCell ref="K28:K29"/>
    <mergeCell ref="B3:C3"/>
    <mergeCell ref="B4:C4"/>
    <mergeCell ref="B5:C5"/>
    <mergeCell ref="B6:C6"/>
    <mergeCell ref="B7:C7"/>
    <mergeCell ref="D3:E3"/>
    <mergeCell ref="D4:E4"/>
    <mergeCell ref="D5:E5"/>
    <mergeCell ref="D6:E6"/>
    <mergeCell ref="D7:E7"/>
    <mergeCell ref="A44:E44"/>
    <mergeCell ref="B39:B43"/>
    <mergeCell ref="N10:N11"/>
    <mergeCell ref="L10:M10"/>
    <mergeCell ref="C10:C11"/>
    <mergeCell ref="D10:D11"/>
    <mergeCell ref="A10:B10"/>
    <mergeCell ref="E10:G10"/>
    <mergeCell ref="B16:D16"/>
    <mergeCell ref="E16:F16"/>
    <mergeCell ref="A12:B12"/>
    <mergeCell ref="E30:F30"/>
    <mergeCell ref="H10:K10"/>
    <mergeCell ref="N22:N26"/>
    <mergeCell ref="A27:N27"/>
    <mergeCell ref="E28:F28"/>
    <mergeCell ref="D34:E34"/>
    <mergeCell ref="D35:E35"/>
    <mergeCell ref="B34:C34"/>
    <mergeCell ref="B35:C35"/>
    <mergeCell ref="A39:A43"/>
    <mergeCell ref="D36:E36"/>
    <mergeCell ref="D37:E37"/>
    <mergeCell ref="D42:E42"/>
    <mergeCell ref="D38:E38"/>
    <mergeCell ref="A36:A38"/>
    <mergeCell ref="D40:E40"/>
    <mergeCell ref="D41:E41"/>
    <mergeCell ref="D39:E39"/>
    <mergeCell ref="D43:E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4FF4-8869-4C3E-9E5E-359BBA0D7581}">
  <dimension ref="A1:D26"/>
  <sheetViews>
    <sheetView showGridLines="0" tabSelected="1" workbookViewId="0">
      <selection activeCell="F12" sqref="F12"/>
    </sheetView>
  </sheetViews>
  <sheetFormatPr defaultRowHeight="14.5" x14ac:dyDescent="0.35"/>
  <cols>
    <col min="1" max="1" width="20.453125" style="63" customWidth="1"/>
    <col min="2" max="4" width="23.08984375" style="56" customWidth="1"/>
    <col min="5" max="7" width="23.08984375" customWidth="1"/>
  </cols>
  <sheetData>
    <row r="1" spans="1:4" x14ac:dyDescent="0.35">
      <c r="A1" s="57"/>
      <c r="B1" s="64" t="s">
        <v>156</v>
      </c>
      <c r="C1" s="64"/>
      <c r="D1" s="64"/>
    </row>
    <row r="2" spans="1:4" x14ac:dyDescent="0.35">
      <c r="A2" s="57" t="s">
        <v>148</v>
      </c>
      <c r="B2" s="43" t="s">
        <v>182</v>
      </c>
      <c r="C2" s="42" t="s">
        <v>183</v>
      </c>
      <c r="D2" s="42"/>
    </row>
    <row r="3" spans="1:4" ht="87" x14ac:dyDescent="0.35">
      <c r="A3" s="57"/>
      <c r="B3" s="43" t="s">
        <v>186</v>
      </c>
      <c r="C3" s="43" t="s">
        <v>185</v>
      </c>
      <c r="D3" s="42"/>
    </row>
    <row r="4" spans="1:4" s="53" customFormat="1" x14ac:dyDescent="0.35">
      <c r="A4" s="58"/>
      <c r="B4" s="45"/>
      <c r="C4" s="45"/>
      <c r="D4" s="45"/>
    </row>
    <row r="5" spans="1:4" x14ac:dyDescent="0.35">
      <c r="A5" s="59" t="s">
        <v>184</v>
      </c>
      <c r="B5" s="42" t="s">
        <v>152</v>
      </c>
      <c r="C5" s="42" t="s">
        <v>154</v>
      </c>
      <c r="D5" s="42" t="s">
        <v>153</v>
      </c>
    </row>
    <row r="6" spans="1:4" s="41" customFormat="1" x14ac:dyDescent="0.35">
      <c r="A6" s="60"/>
      <c r="B6" s="43" t="s">
        <v>162</v>
      </c>
      <c r="C6" s="44" t="s">
        <v>160</v>
      </c>
      <c r="D6" s="44" t="s">
        <v>160</v>
      </c>
    </row>
    <row r="7" spans="1:4" s="41" customFormat="1" x14ac:dyDescent="0.35">
      <c r="A7" s="60"/>
      <c r="B7" s="43" t="s">
        <v>163</v>
      </c>
      <c r="C7" s="43" t="s">
        <v>167</v>
      </c>
      <c r="D7" s="43" t="s">
        <v>167</v>
      </c>
    </row>
    <row r="8" spans="1:4" s="41" customFormat="1" x14ac:dyDescent="0.35">
      <c r="A8" s="60"/>
      <c r="B8" s="43" t="s">
        <v>164</v>
      </c>
      <c r="C8" s="43" t="s">
        <v>169</v>
      </c>
      <c r="D8" s="43" t="s">
        <v>169</v>
      </c>
    </row>
    <row r="9" spans="1:4" s="41" customFormat="1" ht="43.5" x14ac:dyDescent="0.35">
      <c r="A9" s="60"/>
      <c r="B9" s="43" t="s">
        <v>168</v>
      </c>
      <c r="C9" s="43" t="s">
        <v>170</v>
      </c>
      <c r="D9" s="43" t="s">
        <v>170</v>
      </c>
    </row>
    <row r="10" spans="1:4" s="41" customFormat="1" ht="43.5" x14ac:dyDescent="0.35">
      <c r="A10" s="60"/>
      <c r="B10" s="44" t="s">
        <v>155</v>
      </c>
      <c r="C10" s="43" t="s">
        <v>80</v>
      </c>
      <c r="D10" s="43" t="s">
        <v>80</v>
      </c>
    </row>
    <row r="11" spans="1:4" s="41" customFormat="1" ht="87" x14ac:dyDescent="0.35">
      <c r="A11" s="60"/>
      <c r="B11" s="43" t="s">
        <v>158</v>
      </c>
      <c r="C11" s="43" t="s">
        <v>171</v>
      </c>
      <c r="D11" s="43" t="s">
        <v>171</v>
      </c>
    </row>
    <row r="12" spans="1:4" s="41" customFormat="1" ht="72.5" x14ac:dyDescent="0.35">
      <c r="A12" s="60"/>
      <c r="B12" s="43" t="s">
        <v>157</v>
      </c>
      <c r="C12" s="43" t="s">
        <v>172</v>
      </c>
      <c r="D12" s="43" t="s">
        <v>172</v>
      </c>
    </row>
    <row r="13" spans="1:4" s="41" customFormat="1" ht="29" x14ac:dyDescent="0.35">
      <c r="A13" s="60"/>
      <c r="B13" s="43" t="s">
        <v>159</v>
      </c>
      <c r="C13" s="43" t="s">
        <v>74</v>
      </c>
      <c r="D13" s="43" t="s">
        <v>177</v>
      </c>
    </row>
    <row r="14" spans="1:4" s="41" customFormat="1" ht="29" x14ac:dyDescent="0.35">
      <c r="A14" s="60"/>
      <c r="B14" s="43"/>
      <c r="C14" s="43" t="s">
        <v>173</v>
      </c>
      <c r="D14" s="43" t="s">
        <v>173</v>
      </c>
    </row>
    <row r="15" spans="1:4" s="41" customFormat="1" ht="43.5" x14ac:dyDescent="0.35">
      <c r="A15" s="60"/>
      <c r="B15" s="43"/>
      <c r="C15" s="43" t="s">
        <v>174</v>
      </c>
      <c r="D15" s="43" t="s">
        <v>174</v>
      </c>
    </row>
    <row r="16" spans="1:4" s="41" customFormat="1" x14ac:dyDescent="0.35">
      <c r="A16" s="61"/>
      <c r="B16" s="43"/>
      <c r="C16" s="43" t="s">
        <v>176</v>
      </c>
      <c r="D16" s="43" t="s">
        <v>176</v>
      </c>
    </row>
    <row r="17" spans="1:4" s="41" customFormat="1" x14ac:dyDescent="0.35">
      <c r="A17" s="62"/>
      <c r="B17" s="46"/>
      <c r="C17" s="46"/>
      <c r="D17" s="46"/>
    </row>
    <row r="18" spans="1:4" s="41" customFormat="1" x14ac:dyDescent="0.35">
      <c r="A18" s="59" t="s">
        <v>129</v>
      </c>
      <c r="B18" s="50" t="s">
        <v>147</v>
      </c>
      <c r="C18" s="51"/>
      <c r="D18" s="52"/>
    </row>
    <row r="19" spans="1:4" s="41" customFormat="1" ht="87" x14ac:dyDescent="0.35">
      <c r="A19" s="60"/>
      <c r="B19" s="43" t="s">
        <v>178</v>
      </c>
      <c r="C19" s="65" t="s">
        <v>180</v>
      </c>
      <c r="D19" s="43" t="s">
        <v>179</v>
      </c>
    </row>
    <row r="20" spans="1:4" s="41" customFormat="1" ht="87" customHeight="1" x14ac:dyDescent="0.35">
      <c r="A20" s="61"/>
      <c r="B20" s="47" t="s">
        <v>181</v>
      </c>
      <c r="C20" s="48"/>
      <c r="D20" s="49"/>
    </row>
    <row r="21" spans="1:4" x14ac:dyDescent="0.35">
      <c r="A21" s="45"/>
      <c r="B21" s="46"/>
      <c r="C21" s="46"/>
      <c r="D21" s="46"/>
    </row>
    <row r="22" spans="1:4" x14ac:dyDescent="0.35">
      <c r="A22" s="54" t="s">
        <v>123</v>
      </c>
      <c r="B22" s="54"/>
      <c r="C22" s="54"/>
      <c r="D22" s="54"/>
    </row>
    <row r="23" spans="1:4" x14ac:dyDescent="0.35">
      <c r="A23" s="46" t="s">
        <v>165</v>
      </c>
      <c r="B23" s="55" t="s">
        <v>166</v>
      </c>
      <c r="C23" s="55"/>
      <c r="D23" s="55"/>
    </row>
    <row r="24" spans="1:4" x14ac:dyDescent="0.35">
      <c r="A24" s="46" t="s">
        <v>149</v>
      </c>
      <c r="B24" s="55" t="s">
        <v>150</v>
      </c>
      <c r="C24" s="55"/>
      <c r="D24" s="55"/>
    </row>
    <row r="25" spans="1:4" x14ac:dyDescent="0.35">
      <c r="A25" s="46" t="s">
        <v>161</v>
      </c>
      <c r="B25" s="55" t="s">
        <v>151</v>
      </c>
      <c r="C25" s="55"/>
      <c r="D25" s="55"/>
    </row>
    <row r="26" spans="1:4" ht="33.5" customHeight="1" x14ac:dyDescent="0.35">
      <c r="A26" s="55" t="s">
        <v>175</v>
      </c>
      <c r="B26" s="55"/>
      <c r="C26" s="55"/>
      <c r="D26" s="55"/>
    </row>
  </sheetData>
  <mergeCells count="10">
    <mergeCell ref="B18:D18"/>
    <mergeCell ref="A18:A20"/>
    <mergeCell ref="B1:D1"/>
    <mergeCell ref="B24:D24"/>
    <mergeCell ref="B25:D25"/>
    <mergeCell ref="B20:D20"/>
    <mergeCell ref="A26:D26"/>
    <mergeCell ref="A22:D22"/>
    <mergeCell ref="B23:D23"/>
    <mergeCell ref="A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berkah.rad@gmail.com</dc:creator>
  <cp:lastModifiedBy>berkah.rad@gmail.com</cp:lastModifiedBy>
  <dcterms:created xsi:type="dcterms:W3CDTF">2026-08-10T07:11:51Z</dcterms:created>
  <dcterms:modified xsi:type="dcterms:W3CDTF">2026-08-11T06:27:25Z</dcterms:modified>
</cp:coreProperties>
</file>